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EME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Contactos" sheetId="4" state="visible" r:id="rId4"/>
    <sheet xmlns:r="http://schemas.openxmlformats.org/officeDocument/2006/relationships" name="Direcciones_Obra" sheetId="5" state="visible" r:id="rId5"/>
    <sheet xmlns:r="http://schemas.openxmlformats.org/officeDocument/2006/relationships" name="Productos_Referencia" sheetId="6" state="visible" r:id="rId6"/>
    <sheet xmlns:r="http://schemas.openxmlformats.org/officeDocument/2006/relationships" name="Oportunidades" sheetId="7" state="visible" r:id="rId7"/>
    <sheet xmlns:r="http://schemas.openxmlformats.org/officeDocument/2006/relationships" name="Cotizaciones" sheetId="8" state="visible" r:id="rId8"/>
    <sheet xmlns:r="http://schemas.openxmlformats.org/officeDocument/2006/relationships" name="Cotizaciones_Detalle" sheetId="9" state="visible" r:id="rId9"/>
    <sheet xmlns:r="http://schemas.openxmlformats.org/officeDocument/2006/relationships" name="Decisiones_Comerciales" sheetId="10" state="visible" r:id="rId10"/>
    <sheet xmlns:r="http://schemas.openxmlformats.org/officeDocument/2006/relationships" name="Trazabilidad_Fuentes" sheetId="11" state="visible" r:id="rId11"/>
    <sheet xmlns:r="http://schemas.openxmlformats.org/officeDocument/2006/relationships" name="Catalogos_Apoyo" sheetId="12" state="visible" r:id="rId12"/>
  </sheets>
  <definedNames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S/ #,##0.00"/>
    <numFmt numFmtId="166" formatCode="&quot;S/&quot; #,##0.00"/>
    <numFmt numFmtId="167" formatCode="dd/mm/yyyy"/>
  </numFmts>
  <fonts count="4">
    <font>
      <name val="Carlito"/>
      <sz val="11"/>
    </font>
    <font>
      <name val="Carlito"/>
      <b val="1"/>
      <color rgb="FFFFFFFF"/>
      <sz val="14"/>
    </font>
    <font>
      <name val="Carlito"/>
      <i val="1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4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0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 ht="24" customHeight="1">
      <c r="A1" s="7" t="inlineStr">
        <is>
          <t>MIGAL · Catálogo sintético CRM</t>
        </is>
      </c>
      <c r="B1" s="1" t="n"/>
      <c r="C1" s="1" t="n"/>
      <c r="D1" s="1" t="n"/>
      <c r="E1" s="1" t="n"/>
      <c r="F1" s="1" t="n"/>
      <c r="G1" s="1" t="n"/>
      <c r="H1" s="1" t="n"/>
    </row>
    <row r="2" ht="44" customHeight="1">
      <c r="A2" s="13" t="inlineStr">
        <is>
          <t>Personas, empresas, marcas, DNI/RUC, teléfonos, obras y direcciones creados para el caso. Son ficticios y no deben usarse para contactar, facturar o repartir.</t>
        </is>
      </c>
      <c r="B2" s="1" t="n"/>
      <c r="C2" s="1" t="n"/>
      <c r="D2" s="1" t="n"/>
      <c r="E2" s="1" t="n"/>
      <c r="F2" s="1" t="n"/>
      <c r="G2" s="1" t="n"/>
      <c r="H2" s="1" t="n"/>
    </row>
    <row r="3"/>
    <row r="4">
      <c r="A4" s="18" t="inlineStr">
        <is>
          <t>Concepto</t>
        </is>
      </c>
      <c r="B4" s="18" t="inlineStr">
        <is>
          <t>Uso en este workbook</t>
        </is>
      </c>
    </row>
    <row r="5">
      <c r="A5" s="25" t="inlineStr">
        <is>
          <t>[E]</t>
        </is>
      </c>
      <c r="B5" s="25" t="inlineStr">
        <is>
          <t>Evidencia respaldada por levantamiento o fuente del negocio.</t>
        </is>
      </c>
    </row>
    <row r="6">
      <c r="A6" s="25" t="inlineStr">
        <is>
          <t>[I]</t>
        </is>
      </c>
      <c r="B6" s="25" t="inlineStr">
        <is>
          <t>Interpretación razonada a partir de evidencia.</t>
        </is>
      </c>
    </row>
    <row r="7">
      <c r="A7" s="25" t="inlineStr">
        <is>
          <t>[S]</t>
        </is>
      </c>
      <c r="B7" s="25" t="inlineStr">
        <is>
          <t>Supuesto provisional pendiente de validación.</t>
        </is>
      </c>
    </row>
    <row r="8">
      <c r="A8" s="25" t="inlineStr">
        <is>
          <t>[ND]</t>
        </is>
      </c>
      <c r="B8" s="25" t="inlineStr">
        <is>
          <t>No determinado: no existe información suficiente.</t>
        </is>
      </c>
    </row>
    <row r="9">
      <c r="A9" s="25" t="inlineStr">
        <is>
          <t>AS-IS</t>
        </is>
      </c>
      <c r="B9" s="25" t="inlineStr">
        <is>
          <t>Cómo funciona actualmente MIGAL.</t>
        </is>
      </c>
    </row>
    <row r="10">
      <c r="A10" s="25" t="inlineStr">
        <is>
          <t>TO-BE</t>
        </is>
      </c>
      <c r="B10" s="25" t="inlineStr">
        <is>
          <t>Mejora propuesta por el equipo.</t>
        </is>
      </c>
    </row>
    <row r="11" ht="15" customHeight="1">
      <c r="A11" s="25" t="inlineStr">
        <is>
          <t>[SIM]</t>
        </is>
      </c>
      <c r="B11" s="25" t="inlineStr">
        <is>
          <t>Datos ficticios con apariencia realista; los números no están verificados como documentos válidos.</t>
        </is>
      </c>
    </row>
    <row r="12" ht="15" customHeight="1">
      <c r="A12" s="25" t="inlineStr">
        <is>
          <t>Alcance</t>
        </is>
      </c>
      <c r="B12" s="25" t="inlineStr">
        <is>
          <t>Cuenta, contacto, canal/fuente, interacción, oportunidad y cotización antes del pedido confirmado.</t>
        </is>
      </c>
    </row>
    <row r="13" ht="15" customHeight="1">
      <c r="A13" s="25" t="inlineStr">
        <is>
          <t>Fuera de alcance</t>
        </is>
      </c>
      <c r="B13" s="25" t="inlineStr">
        <is>
          <t>Contrato técnico CRM–ERP, ejecución del pedido, reserva de inventario, entrega, factura, pago y posventa.</t>
        </is>
      </c>
    </row>
    <row r="14" ht="26.39999961853027" customHeight="1">
      <c r="A14" s="25" t="inlineStr">
        <is>
          <t>Referencia docente</t>
        </is>
      </c>
      <c r="B14" s="25" t="inlineStr">
        <is>
          <t>Distritos de Lima usados como contexto. Nombres, calles, numeración, predios y empresas son ficticios; no son direcciones verificadas.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28" customWidth="1" min="1" max="1"/>
    <col width="18" customWidth="1" min="2" max="2"/>
    <col width="70" customWidth="1" min="3" max="3"/>
  </cols>
  <sheetData>
    <row r="1" ht="24" customHeight="1">
      <c r="A1" s="7" t="inlineStr">
        <is>
          <t>Resumen del caso sintético CRM de MIGAL</t>
        </is>
      </c>
      <c r="B1" s="1" t="n"/>
      <c r="C1" s="1" t="n"/>
      <c r="D1" s="1" t="n"/>
      <c r="E1" s="1" t="n"/>
      <c r="F1" s="1" t="n"/>
      <c r="G1" s="1" t="n"/>
      <c r="H1" s="1" t="n"/>
    </row>
    <row r="2" ht="30" customHeight="1">
      <c r="A2" s="13" t="inlineStr">
        <is>
          <t>Indicadores calculados a partir de las hojas del workbook.</t>
        </is>
      </c>
      <c r="B2" s="1" t="n"/>
      <c r="C2" s="1" t="n"/>
      <c r="D2" s="1" t="n"/>
      <c r="E2" s="1" t="n"/>
      <c r="F2" s="1" t="n"/>
      <c r="G2" s="1" t="n"/>
      <c r="H2" s="1" t="n"/>
    </row>
    <row r="3"/>
    <row r="4">
      <c r="A4" s="18" t="inlineStr">
        <is>
          <t>Indicador</t>
        </is>
      </c>
      <c r="B4" s="18" t="inlineStr">
        <is>
          <t>Valor</t>
        </is>
      </c>
      <c r="C4" s="18" t="inlineStr">
        <is>
          <t>Interpretación</t>
        </is>
      </c>
    </row>
    <row r="5">
      <c r="A5" s="25" t="inlineStr">
        <is>
          <t>Clientes sintéticos</t>
        </is>
      </c>
      <c r="B5" s="25">
        <f>COUNTA(Clientes!A5:A100)</f>
        <v/>
      </c>
      <c r="C5" s="25" t="inlineStr">
        <is>
          <t>Cuentas usadas únicamente para ejemplificar el modelo CRM.</t>
        </is>
      </c>
    </row>
    <row r="6">
      <c r="A6" s="25" t="inlineStr">
        <is>
          <t>Contactos sintéticos</t>
        </is>
      </c>
      <c r="B6" s="25">
        <f>COUNTA(Contactos!A5:A100)</f>
        <v/>
      </c>
      <c r="C6" s="25" t="inlineStr">
        <is>
          <t>Dueños, maestros, receptores y clientes asociados a cuentas.</t>
        </is>
      </c>
    </row>
    <row r="7">
      <c r="A7" s="25" t="inlineStr">
        <is>
          <t>Oportunidades</t>
        </is>
      </c>
      <c r="B7" s="25">
        <f>COUNTA(Oportunidades!A5:A100)</f>
        <v/>
      </c>
      <c r="C7" s="25" t="inlineStr">
        <is>
          <t>Intereses comerciales con seguimiento.</t>
        </is>
      </c>
    </row>
    <row r="8">
      <c r="A8" s="25" t="inlineStr">
        <is>
          <t>Cotizaciones/versiones</t>
        </is>
      </c>
      <c r="B8" s="25">
        <f>COUNTA(Cotizaciones!A5:A100)</f>
        <v/>
      </c>
      <c r="C8" s="25" t="inlineStr">
        <is>
          <t>Versiones emitidas para las oportunidades.</t>
        </is>
      </c>
    </row>
    <row r="9">
      <c r="A9" s="25" t="inlineStr">
        <is>
          <t>Oportunidades abiertas</t>
        </is>
      </c>
      <c r="B9" s="25">
        <f>COUNTIF(Oportunidades!L5:L100,"Abierta")</f>
        <v/>
      </c>
      <c r="C9" s="25" t="inlineStr">
        <is>
          <t>Aún requieren seguimiento.</t>
        </is>
      </c>
    </row>
    <row r="10">
      <c r="A10" s="25" t="inlineStr">
        <is>
          <t>Ganadas totales</t>
        </is>
      </c>
      <c r="B10" s="25">
        <f>COUNTIF(Oportunidades!L5:L100,"Ganada total")</f>
        <v/>
      </c>
      <c r="C10" s="25" t="inlineStr">
        <is>
          <t>Compra adjudicada completamente a MIGAL.</t>
        </is>
      </c>
    </row>
    <row r="11">
      <c r="A11" s="25" t="inlineStr">
        <is>
          <t>Ganadas parciales</t>
        </is>
      </c>
      <c r="B11" s="25">
        <f>COUNTIF(Oportunidades!L5:L100,"Ganada parcial")</f>
        <v/>
      </c>
      <c r="C11" s="25" t="inlineStr">
        <is>
          <t>Parte de la compra se realiza en MIGAL y otra parte no.</t>
        </is>
      </c>
    </row>
    <row r="12">
      <c r="A12" s="25" t="inlineStr">
        <is>
          <t>Perdidas</t>
        </is>
      </c>
      <c r="B12" s="25">
        <f>COUNTIF(Oportunidades!L5:L100,"Perdida")</f>
        <v/>
      </c>
      <c r="C12" s="25" t="inlineStr">
        <is>
          <t>No se concreta compra asociada a la oportunidad.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16" customWidth="1" min="1" max="1"/>
    <col width="39" customWidth="1" min="2" max="2"/>
    <col width="16" customWidth="1" min="3" max="3"/>
    <col width="24" customWidth="1" min="4" max="4"/>
    <col width="16" customWidth="1" min="5" max="5"/>
    <col width="22" customWidth="1" min="6" max="6"/>
    <col width="22" customWidth="1" min="7" max="7"/>
    <col width="64" customWidth="1" min="8" max="8"/>
  </cols>
  <sheetData>
    <row r="1" ht="24" customHeight="1">
      <c r="A1" s="7" t="inlineStr">
        <is>
          <t>Clientes / cuentas sintéticas</t>
        </is>
      </c>
      <c r="B1" s="1" t="n"/>
      <c r="C1" s="1" t="n"/>
      <c r="D1" s="1" t="n"/>
      <c r="E1" s="1" t="n"/>
      <c r="F1" s="1" t="n"/>
      <c r="G1" s="1" t="n"/>
      <c r="H1" s="1" t="n"/>
    </row>
    <row r="2"/>
    <row r="3"/>
    <row r="4">
      <c r="A4" s="18" t="inlineStr">
        <is>
          <t>id_cliente</t>
        </is>
      </c>
      <c r="B4" s="18" t="inlineStr">
        <is>
          <t>nombre_razon_social</t>
        </is>
      </c>
      <c r="C4" s="18" t="inlineStr">
        <is>
          <t>tipo_cliente</t>
        </is>
      </c>
      <c r="D4" s="18" t="inlineStr">
        <is>
          <t>documento_identidad</t>
        </is>
      </c>
      <c r="E4" s="18" t="inlineStr">
        <is>
          <t>estado_relacion</t>
        </is>
      </c>
      <c r="F4" s="18" t="inlineStr">
        <is>
          <t>responsable_comercial</t>
        </is>
      </c>
      <c r="G4" s="18" t="inlineStr">
        <is>
          <t>origen_principal</t>
        </is>
      </c>
      <c r="H4" s="18" t="inlineStr">
        <is>
          <t>nota</t>
        </is>
      </c>
    </row>
    <row r="5" ht="15" customHeight="1">
      <c r="A5" s="25" t="inlineStr">
        <is>
          <t>CLI-SIM-001</t>
        </is>
      </c>
      <c r="B5" s="25" t="inlineStr">
        <is>
          <t>Rosa Elena Huamán Salcedo</t>
        </is>
      </c>
      <c r="C5" s="25" t="inlineStr">
        <is>
          <t>Obra</t>
        </is>
      </c>
      <c r="D5" s="37" t="inlineStr">
        <is>
          <t>73481629</t>
        </is>
      </c>
      <c r="E5" s="25" t="inlineStr">
        <is>
          <t>Activa</t>
        </is>
      </c>
      <c r="F5" s="25" t="inlineStr">
        <is>
          <t>Propietaria</t>
        </is>
      </c>
      <c r="G5" s="25" t="inlineStr">
        <is>
          <t>Referido maestro</t>
        </is>
      </c>
      <c r="H5" s="25" t="inlineStr">
        <is>
          <t>SIM · Ampliación del tercer piso; coordina con maestro Luis Salcedo.</t>
        </is>
      </c>
    </row>
    <row r="6" ht="15" customHeight="1">
      <c r="A6" s="25" t="inlineStr">
        <is>
          <t>CLI-SIM-002</t>
        </is>
      </c>
      <c r="B6" s="25" t="inlineStr">
        <is>
          <t>Julio César Rojas Cárdenas</t>
        </is>
      </c>
      <c r="C6" s="25" t="inlineStr">
        <is>
          <t>Obra</t>
        </is>
      </c>
      <c r="D6" s="37" t="inlineStr">
        <is>
          <t>68251947</t>
        </is>
      </c>
      <c r="E6" s="25" t="inlineStr">
        <is>
          <t>Activa</t>
        </is>
      </c>
      <c r="F6" s="25" t="inlineStr">
        <is>
          <t>Dueño</t>
        </is>
      </c>
      <c r="G6" s="25" t="inlineStr">
        <is>
          <t>WhatsApp</t>
        </is>
      </c>
      <c r="H6" s="25" t="inlineStr">
        <is>
          <t>SIM · Columnas y techo de vivienda; compra cemento y compara fierro.</t>
        </is>
      </c>
    </row>
    <row r="7" ht="15" customHeight="1">
      <c r="A7" s="25" t="inlineStr">
        <is>
          <t>CLI-SIM-003</t>
        </is>
      </c>
      <c r="B7" s="25" t="inlineStr">
        <is>
          <t>Patricia Milagros Quispe Vega</t>
        </is>
      </c>
      <c r="C7" s="25" t="inlineStr">
        <is>
          <t>Obra</t>
        </is>
      </c>
      <c r="D7" s="37" t="inlineStr">
        <is>
          <t>48162473</t>
        </is>
      </c>
      <c r="E7" s="25" t="inlineStr">
        <is>
          <t>Activa</t>
        </is>
      </c>
      <c r="F7" s="25" t="inlineStr">
        <is>
          <t>Propietaria</t>
        </is>
      </c>
      <c r="G7" s="25" t="inlineStr">
        <is>
          <t>Referido maestro</t>
        </is>
      </c>
      <c r="H7" s="25" t="inlineStr">
        <is>
          <t>SIM · Instalaciones sanitarias y segunda etapa de vivienda familiar.</t>
        </is>
      </c>
    </row>
    <row r="8" ht="15" customHeight="1">
      <c r="A8" s="25" t="inlineStr">
        <is>
          <t>CLI-SIM-004</t>
        </is>
      </c>
      <c r="B8" s="25" t="inlineStr">
        <is>
          <t>Carmen Alicia Paredes Rivas</t>
        </is>
      </c>
      <c r="C8" s="25" t="inlineStr">
        <is>
          <t>Particular</t>
        </is>
      </c>
      <c r="D8" s="37" t="inlineStr">
        <is>
          <t>59148326</t>
        </is>
      </c>
      <c r="E8" s="25" t="inlineStr">
        <is>
          <t>Activa</t>
        </is>
      </c>
      <c r="F8" s="25" t="inlineStr">
        <is>
          <t>Dueño</t>
        </is>
      </c>
      <c r="G8" s="25" t="inlineStr">
        <is>
          <t>Presencial</t>
        </is>
      </c>
      <c r="H8" s="25" t="inlineStr">
        <is>
          <t>SIM · Reparación de sala y dormitorio; recoge compras pequeñas en tienda.</t>
        </is>
      </c>
    </row>
    <row r="9" ht="15" customHeight="1">
      <c r="A9" s="25" t="inlineStr">
        <is>
          <t>CLI-SIM-005</t>
        </is>
      </c>
      <c r="B9" s="25" t="inlineStr">
        <is>
          <t>Luis Alberto Mendoza Huerta</t>
        </is>
      </c>
      <c r="C9" s="25" t="inlineStr">
        <is>
          <t>Particular</t>
        </is>
      </c>
      <c r="D9" s="37" t="inlineStr">
        <is>
          <t>72053618</t>
        </is>
      </c>
      <c r="E9" s="25" t="inlineStr">
        <is>
          <t>Activa</t>
        </is>
      </c>
      <c r="F9" s="25" t="inlineStr">
        <is>
          <t>Propietaria</t>
        </is>
      </c>
      <c r="G9" s="25" t="inlineStr">
        <is>
          <t>WhatsApp</t>
        </is>
      </c>
      <c r="H9" s="25" t="inlineStr">
        <is>
          <t>SIM · Pintado de fachada; solicita propuesta por WhatsApp.</t>
        </is>
      </c>
    </row>
    <row r="10" ht="15" customHeight="1">
      <c r="A10" s="25" t="inlineStr">
        <is>
          <t>CLI-SIM-006</t>
        </is>
      </c>
      <c r="B10" s="25" t="inlineStr">
        <is>
          <t>Obras y Acabados Ladera Norte S.A.C.</t>
        </is>
      </c>
      <c r="C10" s="25" t="inlineStr">
        <is>
          <t>Empresa</t>
        </is>
      </c>
      <c r="D10" s="37" t="inlineStr">
        <is>
          <t>20987461352</t>
        </is>
      </c>
      <c r="E10" s="25" t="inlineStr">
        <is>
          <t>Activa</t>
        </is>
      </c>
      <c r="F10" s="25" t="inlineStr">
        <is>
          <t>Propietaria</t>
        </is>
      </c>
      <c r="G10" s="25" t="inlineStr">
        <is>
          <t>Referido</t>
        </is>
      </c>
      <c r="H10" s="25" t="inlineStr">
        <is>
          <t>SIM · Empresa ficticia de remodelación; requiere factura por materiales.</t>
        </is>
      </c>
    </row>
    <row r="11" ht="15" customHeight="1">
      <c r="A11" s="25" t="inlineStr">
        <is>
          <t>CLI-SIM-007</t>
        </is>
      </c>
      <c r="B11" s="25" t="inlineStr">
        <is>
          <t>Héctor Manuel Cárdenas Soto</t>
        </is>
      </c>
      <c r="C11" s="25" t="inlineStr">
        <is>
          <t>Obra</t>
        </is>
      </c>
      <c r="D11" s="37" t="inlineStr">
        <is>
          <t>48573041</t>
        </is>
      </c>
      <c r="E11" s="25" t="inlineStr">
        <is>
          <t>Activa</t>
        </is>
      </c>
      <c r="F11" s="25" t="inlineStr">
        <is>
          <t>Dueño</t>
        </is>
      </c>
      <c r="G11" s="25" t="inlineStr">
        <is>
          <t>Teléfono</t>
        </is>
      </c>
      <c r="H11" s="25" t="inlineStr">
        <is>
          <t>SIM · Vivienda en Puente Piedra; consulta ladrillo por millar y agregados.</t>
        </is>
      </c>
    </row>
    <row r="12" ht="15" customHeight="1">
      <c r="A12" s="25" t="inlineStr">
        <is>
          <t>CLI-SIM-008</t>
        </is>
      </c>
      <c r="B12" s="25" t="inlineStr">
        <is>
          <t>María Teresa Salazar Ponce</t>
        </is>
      </c>
      <c r="C12" s="25" t="inlineStr">
        <is>
          <t>Particular</t>
        </is>
      </c>
      <c r="D12" s="37" t="inlineStr">
        <is>
          <t>64921837</t>
        </is>
      </c>
      <c r="E12" s="25" t="inlineStr">
        <is>
          <t>Inactiva</t>
        </is>
      </c>
      <c r="F12" s="25" t="inlineStr">
        <is>
          <t>Propietaria</t>
        </is>
      </c>
      <c r="G12" s="25" t="inlineStr">
        <is>
          <t>Presencial</t>
        </is>
      </c>
      <c r="H12" s="25" t="inlineStr">
        <is>
          <t>SIM · Cliente sin obra activa; última consulta por mantenimiento doméstico.</t>
        </is>
      </c>
    </row>
    <row r="13" ht="15" customHeight="1">
      <c r="A13" s="25" t="inlineStr">
        <is>
          <t>CLI-SIM-009</t>
        </is>
      </c>
      <c r="B13" s="25" t="inlineStr">
        <is>
          <t>Ana Lucía Torres Medina</t>
        </is>
      </c>
      <c r="C13" s="25" t="inlineStr">
        <is>
          <t>Obra</t>
        </is>
      </c>
      <c r="D13" s="37" t="inlineStr">
        <is>
          <t>47836415</t>
        </is>
      </c>
      <c r="E13" s="25" t="inlineStr">
        <is>
          <t>Activa</t>
        </is>
      </c>
      <c r="F13" s="25" t="inlineStr">
        <is>
          <t>Propietaria</t>
        </is>
      </c>
      <c r="G13" s="25" t="inlineStr">
        <is>
          <t>WhatsApp</t>
        </is>
      </c>
      <c r="H13" s="25" t="inlineStr">
        <is>
          <t>SIM · Autoconstrucción en Carabayllo; evalúa cantidades y costo de traslado.</t>
        </is>
      </c>
    </row>
    <row r="14" ht="15" customHeight="1">
      <c r="A14" s="25" t="inlineStr">
        <is>
          <t>CLI-SIM-010</t>
        </is>
      </c>
      <c r="B14" s="25" t="inlineStr">
        <is>
          <t>Instalaciones Hidráulicas Valle Claro E.I.R.L.</t>
        </is>
      </c>
      <c r="C14" s="25" t="inlineStr">
        <is>
          <t>Empresa</t>
        </is>
      </c>
      <c r="D14" s="37" t="inlineStr">
        <is>
          <t>20691374825</t>
        </is>
      </c>
      <c r="E14" s="25" t="inlineStr">
        <is>
          <t>Activa</t>
        </is>
      </c>
      <c r="F14" s="25" t="inlineStr">
        <is>
          <t>Dueño</t>
        </is>
      </c>
      <c r="G14" s="25" t="inlineStr">
        <is>
          <t>WhatsApp</t>
        </is>
      </c>
      <c r="H14" s="25" t="inlineStr">
        <is>
          <t>SIM · Contratista ficticio; renovación de tuberías y tanque en local de SMP.</t>
        </is>
      </c>
    </row>
    <row r="15" ht="15" customHeight="1">
      <c r="A15" s="25" t="inlineStr">
        <is>
          <t>CLI-SIM-011</t>
        </is>
      </c>
      <c r="B15" s="25" t="inlineStr">
        <is>
          <t>José Antonio Villanueva Ramos</t>
        </is>
      </c>
      <c r="C15" s="25" t="inlineStr">
        <is>
          <t>Particular</t>
        </is>
      </c>
      <c r="D15" s="37" t="inlineStr">
        <is>
          <t>45783296</t>
        </is>
      </c>
      <c r="E15" s="25" t="inlineStr">
        <is>
          <t>Activa</t>
        </is>
      </c>
      <c r="F15" s="25" t="inlineStr">
        <is>
          <t>Dueño</t>
        </is>
      </c>
      <c r="G15" s="25" t="inlineStr">
        <is>
          <t>Presencial</t>
        </is>
      </c>
      <c r="H15" s="25" t="inlineStr">
        <is>
          <t>SIM · Compra de mostrador; pide lista para reparar muebles y fijaciones.</t>
        </is>
      </c>
    </row>
    <row r="16" ht="15" customHeight="1">
      <c r="A16" s="25" t="inlineStr">
        <is>
          <t>CLI-SIM-012</t>
        </is>
      </c>
      <c r="B16" s="25" t="inlineStr">
        <is>
          <t>Edgar Raúl Espinoza Carranza</t>
        </is>
      </c>
      <c r="C16" s="25" t="inlineStr">
        <is>
          <t>Obra</t>
        </is>
      </c>
      <c r="D16" s="37" t="inlineStr">
        <is>
          <t>48294651</t>
        </is>
      </c>
      <c r="E16" s="25" t="inlineStr">
        <is>
          <t>Activa</t>
        </is>
      </c>
      <c r="F16" s="25" t="inlineStr">
        <is>
          <t>Propietaria</t>
        </is>
      </c>
      <c r="G16" s="25" t="inlineStr">
        <is>
          <t>Referido maestro</t>
        </is>
      </c>
      <c r="H16" s="25" t="inlineStr">
        <is>
          <t>SIM · Ampliación de vivienda en Ancón; solicitó condición de crédito.</t>
        </is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39" customWidth="1" min="3" max="3"/>
    <col width="22" customWidth="1" min="4" max="4"/>
    <col width="17" customWidth="1" min="5" max="5"/>
    <col width="18" customWidth="1" min="6" max="6"/>
    <col width="18" customWidth="1" min="7" max="7"/>
    <col width="28" customWidth="1" min="8" max="8"/>
    <col width="14" customWidth="1" min="9" max="9"/>
    <col width="64" customWidth="1" min="10" max="10"/>
  </cols>
  <sheetData>
    <row r="1" ht="24" customHeight="1">
      <c r="A1" s="7" t="inlineStr">
        <is>
          <t>Contactos sintéticos vinculados a las cuentas</t>
        </is>
      </c>
      <c r="B1" s="1" t="n"/>
      <c r="C1" s="1" t="n"/>
      <c r="D1" s="1" t="n"/>
      <c r="E1" s="1" t="n"/>
      <c r="F1" s="1" t="n"/>
      <c r="G1" s="1" t="n"/>
      <c r="H1" s="1" t="n"/>
    </row>
    <row r="2"/>
    <row r="3"/>
    <row r="4">
      <c r="A4" s="18" t="inlineStr">
        <is>
          <t>id_contacto</t>
        </is>
      </c>
      <c r="B4" s="18" t="inlineStr">
        <is>
          <t>id_cliente</t>
        </is>
      </c>
      <c r="C4" s="18" t="inlineStr">
        <is>
          <t>nombre_contacto</t>
        </is>
      </c>
      <c r="D4" s="18" t="inlineStr">
        <is>
          <t>rol_contacto</t>
        </is>
      </c>
      <c r="E4" s="18" t="inlineStr">
        <is>
          <t>telefono</t>
        </is>
      </c>
      <c r="F4" s="18" t="inlineStr">
        <is>
          <t>canal_preferido</t>
        </is>
      </c>
      <c r="G4" s="18" t="inlineStr">
        <is>
          <t>uso_operativo</t>
        </is>
      </c>
      <c r="H4" s="18" t="inlineStr">
        <is>
          <t>consentimiento_promocional</t>
        </is>
      </c>
      <c r="I4" s="18" t="inlineStr">
        <is>
          <t>estado</t>
        </is>
      </c>
      <c r="J4" s="18" t="inlineStr">
        <is>
          <t>nota</t>
        </is>
      </c>
    </row>
    <row r="5" ht="15" customHeight="1">
      <c r="A5" s="25" t="inlineStr">
        <is>
          <t>CON-SIM-001</t>
        </is>
      </c>
      <c r="B5" s="25" t="inlineStr">
        <is>
          <t>CLI-SIM-001</t>
        </is>
      </c>
      <c r="C5" s="25" t="inlineStr">
        <is>
          <t>Rosa Elena Huamán Salcedo</t>
        </is>
      </c>
      <c r="D5" s="25" t="inlineStr">
        <is>
          <t>Dueño de obra</t>
        </is>
      </c>
      <c r="E5" s="37" t="inlineStr">
        <is>
          <t>900100101</t>
        </is>
      </c>
      <c r="F5" s="25" t="inlineStr">
        <is>
          <t>WhatsApp</t>
        </is>
      </c>
      <c r="G5" s="25" t="inlineStr">
        <is>
          <t>Sí</t>
        </is>
      </c>
      <c r="H5" s="25" t="inlineStr">
        <is>
          <t>No determinado</t>
        </is>
      </c>
      <c r="I5" s="25" t="inlineStr">
        <is>
          <t>Activo</t>
        </is>
      </c>
      <c r="J5" s="25" t="inlineStr">
        <is>
          <t>SIM · Propietaria; confirma presupuesto del tercer piso.</t>
        </is>
      </c>
    </row>
    <row r="6" ht="15" customHeight="1">
      <c r="A6" s="25" t="inlineStr">
        <is>
          <t>CON-SIM-002</t>
        </is>
      </c>
      <c r="B6" s="25" t="inlineStr">
        <is>
          <t>CLI-SIM-001</t>
        </is>
      </c>
      <c r="C6" s="25" t="inlineStr">
        <is>
          <t>Luis Fernando Salcedo Poma</t>
        </is>
      </c>
      <c r="D6" s="25" t="inlineStr">
        <is>
          <t>Maestro de obra</t>
        </is>
      </c>
      <c r="E6" s="37" t="inlineStr">
        <is>
          <t>900100118</t>
        </is>
      </c>
      <c r="F6" s="25" t="inlineStr">
        <is>
          <t>WhatsApp</t>
        </is>
      </c>
      <c r="G6" s="25" t="inlineStr">
        <is>
          <t>Sí</t>
        </is>
      </c>
      <c r="H6" s="25" t="inlineStr">
        <is>
          <t>No determinado</t>
        </is>
      </c>
      <c r="I6" s="25" t="inlineStr">
        <is>
          <t>Activo</t>
        </is>
      </c>
      <c r="J6" s="25" t="inlineStr">
        <is>
          <t>SIM · Maestro albañil; prepara metrado y coordina descarga.</t>
        </is>
      </c>
    </row>
    <row r="7" ht="15" customHeight="1">
      <c r="A7" s="25" t="inlineStr">
        <is>
          <t>CON-SIM-003</t>
        </is>
      </c>
      <c r="B7" s="25" t="inlineStr">
        <is>
          <t>CLI-SIM-002</t>
        </is>
      </c>
      <c r="C7" s="25" t="inlineStr">
        <is>
          <t>Julio César Rojas Cárdenas</t>
        </is>
      </c>
      <c r="D7" s="25" t="inlineStr">
        <is>
          <t>Dueño de obra</t>
        </is>
      </c>
      <c r="E7" s="37" t="inlineStr">
        <is>
          <t>900100135</t>
        </is>
      </c>
      <c r="F7" s="25" t="inlineStr">
        <is>
          <t>Teléfono</t>
        </is>
      </c>
      <c r="G7" s="25" t="inlineStr">
        <is>
          <t>Sí</t>
        </is>
      </c>
      <c r="H7" s="25" t="inlineStr">
        <is>
          <t>No determinado</t>
        </is>
      </c>
      <c r="I7" s="25" t="inlineStr">
        <is>
          <t>Activo</t>
        </is>
      </c>
      <c r="J7" s="25" t="inlineStr">
        <is>
          <t>SIM · Propietario; negocia cemento y acero para columnas.</t>
        </is>
      </c>
    </row>
    <row r="8" ht="15" customHeight="1">
      <c r="A8" s="25" t="inlineStr">
        <is>
          <t>CON-SIM-004</t>
        </is>
      </c>
      <c r="B8" s="25" t="inlineStr">
        <is>
          <t>CLI-SIM-002</t>
        </is>
      </c>
      <c r="C8" s="25" t="inlineStr">
        <is>
          <t>Víctor Hugo Palomino Chacón</t>
        </is>
      </c>
      <c r="D8" s="25" t="inlineStr">
        <is>
          <t>Maestro de obra</t>
        </is>
      </c>
      <c r="E8" s="37" t="inlineStr">
        <is>
          <t>900100152</t>
        </is>
      </c>
      <c r="F8" s="25" t="inlineStr">
        <is>
          <t>WhatsApp</t>
        </is>
      </c>
      <c r="G8" s="25" t="inlineStr">
        <is>
          <t>Sí</t>
        </is>
      </c>
      <c r="H8" s="25" t="inlineStr">
        <is>
          <t>No determinado</t>
        </is>
      </c>
      <c r="I8" s="25" t="inlineStr">
        <is>
          <t>Activo</t>
        </is>
      </c>
      <c r="J8" s="25" t="inlineStr">
        <is>
          <t>SIM · Maestro de obra; revisa medidas del acero y cantidades.</t>
        </is>
      </c>
    </row>
    <row r="9" ht="15" customHeight="1">
      <c r="A9" s="25" t="inlineStr">
        <is>
          <t>CON-SIM-005</t>
        </is>
      </c>
      <c r="B9" s="25" t="inlineStr">
        <is>
          <t>CLI-SIM-003</t>
        </is>
      </c>
      <c r="C9" s="25" t="inlineStr">
        <is>
          <t>Miguel Ángel Yupanqui Ríos</t>
        </is>
      </c>
      <c r="D9" s="25" t="inlineStr">
        <is>
          <t>Maestro de obra</t>
        </is>
      </c>
      <c r="E9" s="37" t="inlineStr">
        <is>
          <t>900100169</t>
        </is>
      </c>
      <c r="F9" s="25" t="inlineStr">
        <is>
          <t>WhatsApp</t>
        </is>
      </c>
      <c r="G9" s="25" t="inlineStr">
        <is>
          <t>Sí</t>
        </is>
      </c>
      <c r="H9" s="25" t="inlineStr">
        <is>
          <t>No determinado</t>
        </is>
      </c>
      <c r="I9" s="25" t="inlineStr">
        <is>
          <t>Activo</t>
        </is>
      </c>
      <c r="J9" s="25" t="inlineStr">
        <is>
          <t>SIM · Gasfitero; remite diámetros y accesorios faltantes.</t>
        </is>
      </c>
    </row>
    <row r="10" ht="15" customHeight="1">
      <c r="A10" s="25" t="inlineStr">
        <is>
          <t>CON-SIM-006</t>
        </is>
      </c>
      <c r="B10" s="25" t="inlineStr">
        <is>
          <t>CLI-SIM-003</t>
        </is>
      </c>
      <c r="C10" s="25" t="inlineStr">
        <is>
          <t>Patricia Milagros Quispe Vega</t>
        </is>
      </c>
      <c r="D10" s="25" t="inlineStr">
        <is>
          <t>Dueño de obra</t>
        </is>
      </c>
      <c r="E10" s="37" t="inlineStr">
        <is>
          <t>900100186</t>
        </is>
      </c>
      <c r="F10" s="25" t="inlineStr">
        <is>
          <t>WhatsApp</t>
        </is>
      </c>
      <c r="G10" s="25" t="inlineStr">
        <is>
          <t>Sí</t>
        </is>
      </c>
      <c r="H10" s="25" t="inlineStr">
        <is>
          <t>No determinado</t>
        </is>
      </c>
      <c r="I10" s="25" t="inlineStr">
        <is>
          <t>Activo</t>
        </is>
      </c>
      <c r="J10" s="25" t="inlineStr">
        <is>
          <t>SIM · Propietaria; decide flete y compra de agregados.</t>
        </is>
      </c>
    </row>
    <row r="11" ht="15" customHeight="1">
      <c r="A11" s="25" t="inlineStr">
        <is>
          <t>CON-SIM-007</t>
        </is>
      </c>
      <c r="B11" s="25" t="inlineStr">
        <is>
          <t>CLI-SIM-004</t>
        </is>
      </c>
      <c r="C11" s="25" t="inlineStr">
        <is>
          <t>Carmen Alicia Paredes Rivas</t>
        </is>
      </c>
      <c r="D11" s="25" t="inlineStr">
        <is>
          <t>Cliente</t>
        </is>
      </c>
      <c r="E11" s="37" t="inlineStr">
        <is>
          <t>900100203</t>
        </is>
      </c>
      <c r="F11" s="25" t="inlineStr">
        <is>
          <t>Presencial</t>
        </is>
      </c>
      <c r="G11" s="25" t="inlineStr">
        <is>
          <t>Sí</t>
        </is>
      </c>
      <c r="H11" s="25" t="inlineStr">
        <is>
          <t>No determinado</t>
        </is>
      </c>
      <c r="I11" s="25" t="inlineStr">
        <is>
          <t>Activo</t>
        </is>
      </c>
      <c r="J11" s="25" t="inlineStr">
        <is>
          <t>SIM · Compra para reparación interior; atención en mostrador.</t>
        </is>
      </c>
    </row>
    <row r="12" ht="15" customHeight="1">
      <c r="A12" s="25" t="inlineStr">
        <is>
          <t>CON-SIM-008</t>
        </is>
      </c>
      <c r="B12" s="25" t="inlineStr">
        <is>
          <t>CLI-SIM-005</t>
        </is>
      </c>
      <c r="C12" s="25" t="inlineStr">
        <is>
          <t>Luis Alberto Mendoza Huerta</t>
        </is>
      </c>
      <c r="D12" s="25" t="inlineStr">
        <is>
          <t>Cliente</t>
        </is>
      </c>
      <c r="E12" s="37" t="inlineStr">
        <is>
          <t>900100220</t>
        </is>
      </c>
      <c r="F12" s="25" t="inlineStr">
        <is>
          <t>WhatsApp</t>
        </is>
      </c>
      <c r="G12" s="25" t="inlineStr">
        <is>
          <t>Sí</t>
        </is>
      </c>
      <c r="H12" s="25" t="inlineStr">
        <is>
          <t>No determinado</t>
        </is>
      </c>
      <c r="I12" s="25" t="inlineStr">
        <is>
          <t>Activo</t>
        </is>
      </c>
      <c r="J12" s="25" t="inlineStr">
        <is>
          <t>SIM · Coordina color y rendimiento de pintura.</t>
        </is>
      </c>
    </row>
    <row r="13" ht="15" customHeight="1">
      <c r="A13" s="25" t="inlineStr">
        <is>
          <t>CON-SIM-009</t>
        </is>
      </c>
      <c r="B13" s="25" t="inlineStr">
        <is>
          <t>CLI-SIM-006</t>
        </is>
      </c>
      <c r="C13" s="25" t="inlineStr">
        <is>
          <t>Mariela Beatriz Córdova Peña</t>
        </is>
      </c>
      <c r="D13" s="25" t="inlineStr">
        <is>
          <t>Representante</t>
        </is>
      </c>
      <c r="E13" s="37" t="inlineStr">
        <is>
          <t>900100237</t>
        </is>
      </c>
      <c r="F13" s="25" t="inlineStr">
        <is>
          <t>WhatsApp</t>
        </is>
      </c>
      <c r="G13" s="25" t="inlineStr">
        <is>
          <t>Sí</t>
        </is>
      </c>
      <c r="H13" s="25" t="inlineStr">
        <is>
          <t>No determinado</t>
        </is>
      </c>
      <c r="I13" s="25" t="inlineStr">
        <is>
          <t>Activo</t>
        </is>
      </c>
      <c r="J13" s="25" t="inlineStr">
        <is>
          <t>SIM · Encargada de compras de Ladera Norte; solicita factura.</t>
        </is>
      </c>
    </row>
    <row r="14" ht="15" customHeight="1">
      <c r="A14" s="25" t="inlineStr">
        <is>
          <t>CON-SIM-010</t>
        </is>
      </c>
      <c r="B14" s="25" t="inlineStr">
        <is>
          <t>CLI-SIM-007</t>
        </is>
      </c>
      <c r="C14" s="25" t="inlineStr">
        <is>
          <t>Juan Carlos Huerta Chávez</t>
        </is>
      </c>
      <c r="D14" s="25" t="inlineStr">
        <is>
          <t>Maestro de obra</t>
        </is>
      </c>
      <c r="E14" s="37" t="inlineStr">
        <is>
          <t>900100254</t>
        </is>
      </c>
      <c r="F14" s="25" t="inlineStr">
        <is>
          <t>Teléfono</t>
        </is>
      </c>
      <c r="G14" s="25" t="inlineStr">
        <is>
          <t>Sí</t>
        </is>
      </c>
      <c r="H14" s="25" t="inlineStr">
        <is>
          <t>No determinado</t>
        </is>
      </c>
      <c r="I14" s="25" t="inlineStr">
        <is>
          <t>Activo</t>
        </is>
      </c>
      <c r="J14" s="25" t="inlineStr">
        <is>
          <t>SIM · Maestro albañil; espera confirmación del lote de ladrillos.</t>
        </is>
      </c>
    </row>
    <row r="15" ht="15" customHeight="1">
      <c r="A15" s="25" t="inlineStr">
        <is>
          <t>CON-SIM-011</t>
        </is>
      </c>
      <c r="B15" s="25" t="inlineStr">
        <is>
          <t>CLI-SIM-009</t>
        </is>
      </c>
      <c r="C15" s="25" t="inlineStr">
        <is>
          <t>Ana Lucía Torres Medina</t>
        </is>
      </c>
      <c r="D15" s="25" t="inlineStr">
        <is>
          <t>Dueño de obra</t>
        </is>
      </c>
      <c r="E15" s="37" t="inlineStr">
        <is>
          <t>900100271</t>
        </is>
      </c>
      <c r="F15" s="25" t="inlineStr">
        <is>
          <t>WhatsApp</t>
        </is>
      </c>
      <c r="G15" s="25" t="inlineStr">
        <is>
          <t>Sí</t>
        </is>
      </c>
      <c r="H15" s="25" t="inlineStr">
        <is>
          <t>No determinado</t>
        </is>
      </c>
      <c r="I15" s="25" t="inlineStr">
        <is>
          <t>Activo</t>
        </is>
      </c>
      <c r="J15" s="25" t="inlineStr">
        <is>
          <t>SIM · Propietaria de obra; decide distribución de compras.</t>
        </is>
      </c>
    </row>
    <row r="16" ht="15" customHeight="1">
      <c r="A16" s="25" t="inlineStr">
        <is>
          <t>CON-SIM-012</t>
        </is>
      </c>
      <c r="B16" s="25" t="inlineStr">
        <is>
          <t>CLI-SIM-009</t>
        </is>
      </c>
      <c r="C16" s="25" t="inlineStr">
        <is>
          <t>Óscar Daniel Rivas Taipe</t>
        </is>
      </c>
      <c r="D16" s="25" t="inlineStr">
        <is>
          <t>Maestro de obra</t>
        </is>
      </c>
      <c r="E16" s="37" t="inlineStr">
        <is>
          <t>900100288</t>
        </is>
      </c>
      <c r="F16" s="25" t="inlineStr">
        <is>
          <t>WhatsApp</t>
        </is>
      </c>
      <c r="G16" s="25" t="inlineStr">
        <is>
          <t>Sí</t>
        </is>
      </c>
      <c r="H16" s="25" t="inlineStr">
        <is>
          <t>No determinado</t>
        </is>
      </c>
      <c r="I16" s="25" t="inlineStr">
        <is>
          <t>Activo</t>
        </is>
      </c>
      <c r="J16" s="25" t="inlineStr">
        <is>
          <t>SIM · Maestro de obra; solicita descuento por cantidad.</t>
        </is>
      </c>
    </row>
    <row r="17" ht="15" customHeight="1">
      <c r="A17" s="25" t="inlineStr">
        <is>
          <t>CON-SIM-013</t>
        </is>
      </c>
      <c r="B17" s="25" t="inlineStr">
        <is>
          <t>CLI-SIM-010</t>
        </is>
      </c>
      <c r="C17" s="25" t="inlineStr">
        <is>
          <t>Renato Andrés Gálvez Mena</t>
        </is>
      </c>
      <c r="D17" s="25" t="inlineStr">
        <is>
          <t>Representante</t>
        </is>
      </c>
      <c r="E17" s="37" t="inlineStr">
        <is>
          <t>900100305</t>
        </is>
      </c>
      <c r="F17" s="25" t="inlineStr">
        <is>
          <t>WhatsApp</t>
        </is>
      </c>
      <c r="G17" s="25" t="inlineStr">
        <is>
          <t>Sí</t>
        </is>
      </c>
      <c r="H17" s="25" t="inlineStr">
        <is>
          <t>No determinado</t>
        </is>
      </c>
      <c r="I17" s="25" t="inlineStr">
        <is>
          <t>Activo</t>
        </is>
      </c>
      <c r="J17" s="25" t="inlineStr">
        <is>
          <t>SIM · Responsable de Valle Claro; coordina tanque y conexiones.</t>
        </is>
      </c>
    </row>
    <row r="18" ht="15" customHeight="1">
      <c r="A18" s="25" t="inlineStr">
        <is>
          <t>CON-SIM-014</t>
        </is>
      </c>
      <c r="B18" s="25" t="inlineStr">
        <is>
          <t>CLI-SIM-011</t>
        </is>
      </c>
      <c r="C18" s="25" t="inlineStr">
        <is>
          <t>José Antonio Villanueva Ramos</t>
        </is>
      </c>
      <c r="D18" s="25" t="inlineStr">
        <is>
          <t>Cliente</t>
        </is>
      </c>
      <c r="E18" s="37" t="inlineStr">
        <is>
          <t>900100322</t>
        </is>
      </c>
      <c r="F18" s="25" t="inlineStr">
        <is>
          <t>Presencial</t>
        </is>
      </c>
      <c r="G18" s="25" t="inlineStr">
        <is>
          <t>Sí</t>
        </is>
      </c>
      <c r="H18" s="25" t="inlineStr">
        <is>
          <t>No determinado</t>
        </is>
      </c>
      <c r="I18" s="25" t="inlineStr">
        <is>
          <t>Activo</t>
        </is>
      </c>
      <c r="J18" s="25" t="inlineStr">
        <is>
          <t>SIM · Cliente minorista; recoge personalmente.</t>
        </is>
      </c>
    </row>
    <row r="19" ht="15" customHeight="1">
      <c r="A19" s="25" t="inlineStr">
        <is>
          <t>CON-SIM-015</t>
        </is>
      </c>
      <c r="B19" s="25" t="inlineStr">
        <is>
          <t>CLI-SIM-012</t>
        </is>
      </c>
      <c r="C19" s="25" t="inlineStr">
        <is>
          <t>Pedro Pablo Luján Poma</t>
        </is>
      </c>
      <c r="D19" s="25" t="inlineStr">
        <is>
          <t>Maestro de obra</t>
        </is>
      </c>
      <c r="E19" s="37" t="inlineStr">
        <is>
          <t>900100339</t>
        </is>
      </c>
      <c r="F19" s="25" t="inlineStr">
        <is>
          <t>WhatsApp</t>
        </is>
      </c>
      <c r="G19" s="25" t="inlineStr">
        <is>
          <t>Sí</t>
        </is>
      </c>
      <c r="H19" s="25" t="inlineStr">
        <is>
          <t>No determinado</t>
        </is>
      </c>
      <c r="I19" s="25" t="inlineStr">
        <is>
          <t>Activo</t>
        </is>
      </c>
      <c r="J19" s="25" t="inlineStr">
        <is>
          <t>SIM · Maestro de obra de Ancón; pide cotización estructural.</t>
        </is>
      </c>
    </row>
    <row r="20" ht="15" customHeight="1">
      <c r="A20" s="25" t="inlineStr">
        <is>
          <t>CON-SIM-016</t>
        </is>
      </c>
      <c r="B20" s="25" t="inlineStr">
        <is>
          <t>CLI-SIM-012</t>
        </is>
      </c>
      <c r="C20" s="25" t="inlineStr">
        <is>
          <t>Edgar Raúl Espinoza Carranza</t>
        </is>
      </c>
      <c r="D20" s="25" t="inlineStr">
        <is>
          <t>Dueño de obra</t>
        </is>
      </c>
      <c r="E20" s="37" t="inlineStr">
        <is>
          <t>900100356</t>
        </is>
      </c>
      <c r="F20" s="25" t="inlineStr">
        <is>
          <t>WhatsApp</t>
        </is>
      </c>
      <c r="G20" s="25" t="inlineStr">
        <is>
          <t>Sí</t>
        </is>
      </c>
      <c r="H20" s="25" t="inlineStr">
        <is>
          <t>No determinado</t>
        </is>
      </c>
      <c r="I20" s="25" t="inlineStr">
        <is>
          <t>Activo</t>
        </is>
      </c>
      <c r="J20" s="25" t="inlineStr">
        <is>
          <t>SIM · Propietario; consulta pago fraccionado para ampliación.</t>
        </is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48" customWidth="1" min="3" max="3"/>
    <col width="54" customWidth="1" min="4" max="4"/>
    <col width="25" customWidth="1" min="5" max="5"/>
    <col width="75" customWidth="1" min="6" max="6"/>
    <col width="14" customWidth="1" min="7" max="7"/>
    <col width="22" customWidth="1" min="8" max="8"/>
    <col width="49" customWidth="1" min="9" max="9"/>
  </cols>
  <sheetData>
    <row r="1" ht="24" customHeight="1">
      <c r="A1" s="7" t="inlineStr">
        <is>
          <t>Direcciones / obras sintéticas</t>
        </is>
      </c>
      <c r="B1" s="1" t="n"/>
      <c r="C1" s="1" t="n"/>
      <c r="D1" s="1" t="n"/>
      <c r="E1" s="1" t="n"/>
      <c r="F1" s="1" t="n"/>
      <c r="G1" s="1" t="n"/>
      <c r="H1" s="1" t="n"/>
    </row>
    <row r="2"/>
    <row r="3"/>
    <row r="4">
      <c r="A4" s="18" t="inlineStr">
        <is>
          <t>id_direccion</t>
        </is>
      </c>
      <c r="B4" s="18" t="inlineStr">
        <is>
          <t>id_cliente</t>
        </is>
      </c>
      <c r="C4" s="18" t="inlineStr">
        <is>
          <t>nombre_obra</t>
        </is>
      </c>
      <c r="D4" s="18" t="inlineStr">
        <is>
          <t>direccion_ubicacion</t>
        </is>
      </c>
      <c r="E4" s="18" t="inlineStr">
        <is>
          <t>distrito</t>
        </is>
      </c>
      <c r="F4" s="18" t="inlineStr">
        <is>
          <t>indicaciones</t>
        </is>
      </c>
      <c r="G4" s="18" t="inlineStr">
        <is>
          <t>estado</t>
        </is>
      </c>
      <c r="H4" s="18" t="inlineStr">
        <is>
          <t>fuente_direccion</t>
        </is>
      </c>
      <c r="I4" s="18" t="inlineStr">
        <is>
          <t>nota</t>
        </is>
      </c>
    </row>
    <row r="5" ht="15" customHeight="1">
      <c r="A5" s="25" t="inlineStr">
        <is>
          <t>DIR-SIM-001</t>
        </is>
      </c>
      <c r="B5" s="25" t="inlineStr">
        <is>
          <t>CLI-SIM-001</t>
        </is>
      </c>
      <c r="C5" s="25" t="inlineStr">
        <is>
          <t>Ampliación tercer piso — familia Huamán</t>
        </is>
      </c>
      <c r="D5" s="25" t="inlineStr">
        <is>
          <t>Jr. Los Alhelíes 318, Urb. Naranjal</t>
        </is>
      </c>
      <c r="E5" s="25" t="inlineStr">
        <is>
          <t>San Martín de Porres</t>
        </is>
      </c>
      <c r="F5" s="25" t="inlineStr">
        <is>
          <t>Portón verde; descargar en vereda lateral. Acceso a tercer piso por escalera exterior.</t>
        </is>
      </c>
      <c r="G5" s="25" t="inlineStr">
        <is>
          <t>Activa</t>
        </is>
      </c>
      <c r="H5" s="25" t="inlineStr">
        <is>
          <t>WhatsApp</t>
        </is>
      </c>
      <c r="I5" s="25" t="inlineStr">
        <is>
          <t>SIM · Numeración y predio ficticios.</t>
        </is>
      </c>
    </row>
    <row r="6" ht="15" customHeight="1">
      <c r="A6" s="25" t="inlineStr">
        <is>
          <t>DIR-SIM-002</t>
        </is>
      </c>
      <c r="B6" s="25" t="inlineStr">
        <is>
          <t>CLI-SIM-002</t>
        </is>
      </c>
      <c r="C6" s="25" t="inlineStr">
        <is>
          <t>Techo y columnas — vivienda Rojas</t>
        </is>
      </c>
      <c r="D6" s="25" t="inlineStr">
        <is>
          <t>Calle Las Retamas 246, Urb. San Diego</t>
        </is>
      </c>
      <c r="E6" s="25" t="inlineStr">
        <is>
          <t>San Martín de Porres</t>
        </is>
      </c>
      <c r="F6" s="25" t="inlineStr">
        <is>
          <t>Coordinar con Víctor Palomino; frente angosto, descargar por lotes.</t>
        </is>
      </c>
      <c r="G6" s="25" t="inlineStr">
        <is>
          <t>Activa</t>
        </is>
      </c>
      <c r="H6" s="25" t="inlineStr">
        <is>
          <t>Ubicación compartida</t>
        </is>
      </c>
      <c r="I6" s="25" t="inlineStr">
        <is>
          <t>SIM · Numeración y predio ficticios.</t>
        </is>
      </c>
    </row>
    <row r="7" ht="15" customHeight="1">
      <c r="A7" s="25" t="inlineStr">
        <is>
          <t>DIR-SIM-003</t>
        </is>
      </c>
      <c r="B7" s="25" t="inlineStr">
        <is>
          <t>CLI-SIM-003</t>
        </is>
      </c>
      <c r="C7" s="25" t="inlineStr">
        <is>
          <t>Remodelación sanitaria — vivienda Quispe</t>
        </is>
      </c>
      <c r="D7" s="25" t="inlineStr">
        <is>
          <t>Jr. Los Manzanos 527, Urb. Pro</t>
        </is>
      </c>
      <c r="E7" s="25" t="inlineStr">
        <is>
          <t>Los Olivos</t>
        </is>
      </c>
      <c r="F7" s="25" t="inlineStr">
        <is>
          <t>Puerta de fierro plomo; patio disponible para tuberías, agregados solo en exterior.</t>
        </is>
      </c>
      <c r="G7" s="25" t="inlineStr">
        <is>
          <t>Activa</t>
        </is>
      </c>
      <c r="H7" s="25" t="inlineStr">
        <is>
          <t>WhatsApp</t>
        </is>
      </c>
      <c r="I7" s="25" t="inlineStr">
        <is>
          <t>SIM · Numeración y predio ficticios.</t>
        </is>
      </c>
    </row>
    <row r="8" ht="15" customHeight="1">
      <c r="A8" s="25" t="inlineStr">
        <is>
          <t>DIR-SIM-004</t>
        </is>
      </c>
      <c r="B8" s="25" t="inlineStr">
        <is>
          <t>CLI-SIM-006</t>
        </is>
      </c>
      <c r="C8" s="25" t="inlineStr">
        <is>
          <t>Acondicionamiento de consultorio — Ladera Norte</t>
        </is>
      </c>
      <c r="D8" s="25" t="inlineStr">
        <is>
          <t>Calle Las Dalias 164, Urb. Palao</t>
        </is>
      </c>
      <c r="E8" s="25" t="inlineStr">
        <is>
          <t>San Martín de Porres</t>
        </is>
      </c>
      <c r="F8" s="25" t="inlineStr">
        <is>
          <t>Ingreso por puerta lateral; proteger piso al trasladar materiales.</t>
        </is>
      </c>
      <c r="G8" s="25" t="inlineStr">
        <is>
          <t>Activa</t>
        </is>
      </c>
      <c r="H8" s="25" t="inlineStr">
        <is>
          <t>Texto</t>
        </is>
      </c>
      <c r="I8" s="25" t="inlineStr">
        <is>
          <t>SIM · Empresa, local y numeración ficticios.</t>
        </is>
      </c>
    </row>
    <row r="9" ht="15" customHeight="1">
      <c r="A9" s="25" t="inlineStr">
        <is>
          <t>DIR-SIM-005</t>
        </is>
      </c>
      <c r="B9" s="25" t="inlineStr">
        <is>
          <t>CLI-SIM-007</t>
        </is>
      </c>
      <c r="C9" s="25" t="inlineStr">
        <is>
          <t>Primer piso — vivienda Cárdenas</t>
        </is>
      </c>
      <c r="D9" s="25" t="inlineStr">
        <is>
          <t>Mz. F Lt. 12, Asociación Los Jardines del Valle</t>
        </is>
      </c>
      <c r="E9" s="25" t="inlineStr">
        <is>
          <t>Puente Piedra</t>
        </is>
      </c>
      <c r="F9" s="25" t="inlineStr">
        <is>
          <t>Acceso por calle afirmada; confirmar condición de ingreso del camión antes de prometer fecha.</t>
        </is>
      </c>
      <c r="G9" s="25" t="inlineStr">
        <is>
          <t>Activa</t>
        </is>
      </c>
      <c r="H9" s="25" t="inlineStr">
        <is>
          <t>Llamada</t>
        </is>
      </c>
      <c r="I9" s="25" t="inlineStr">
        <is>
          <t>SIM · Asociación, lote y predio ficticios.</t>
        </is>
      </c>
    </row>
    <row r="10" ht="15" customHeight="1">
      <c r="A10" s="25" t="inlineStr">
        <is>
          <t>DIR-SIM-006</t>
        </is>
      </c>
      <c r="B10" s="25" t="inlineStr">
        <is>
          <t>CLI-SIM-009</t>
        </is>
      </c>
      <c r="C10" s="25" t="inlineStr">
        <is>
          <t>Construcción vivienda — familia Torres</t>
        </is>
      </c>
      <c r="D10" s="25" t="inlineStr">
        <is>
          <t>Mz. K Lt. 8, Asociación Villa Los Cedros</t>
        </is>
      </c>
      <c r="E10" s="25" t="inlineStr">
        <is>
          <t>Carabayllo</t>
        </is>
      </c>
      <c r="F10" s="25" t="inlineStr">
        <is>
          <t>Consultar espacio de maniobra y descarga; maestro Óscar Rivas recibe materiales.</t>
        </is>
      </c>
      <c r="G10" s="25" t="inlineStr">
        <is>
          <t>Activa</t>
        </is>
      </c>
      <c r="H10" s="25" t="inlineStr">
        <is>
          <t>Ubicación compartida</t>
        </is>
      </c>
      <c r="I10" s="25" t="inlineStr">
        <is>
          <t>SIM · Asociación, lote y predio ficticios.</t>
        </is>
      </c>
    </row>
    <row r="11" ht="15" customHeight="1">
      <c r="A11" s="25" t="inlineStr">
        <is>
          <t>DIR-SIM-007</t>
        </is>
      </c>
      <c r="B11" s="25" t="inlineStr">
        <is>
          <t>CLI-SIM-010</t>
        </is>
      </c>
      <c r="C11" s="25" t="inlineStr">
        <is>
          <t>Renovación de red de agua — Valle Claro</t>
        </is>
      </c>
      <c r="D11" s="25" t="inlineStr">
        <is>
          <t>Jr. Los Jazmines 683, Urb. Fiori</t>
        </is>
      </c>
      <c r="E11" s="25" t="inlineStr">
        <is>
          <t>San Martín de Porres</t>
        </is>
      </c>
      <c r="F11" s="25" t="inlineStr">
        <is>
          <t>Tanque ingresa por portón de 2.40 m; coordinar retiro de vehículo antes de descarga.</t>
        </is>
      </c>
      <c r="G11" s="25" t="inlineStr">
        <is>
          <t>Activa</t>
        </is>
      </c>
      <c r="H11" s="25" t="inlineStr">
        <is>
          <t>WhatsApp</t>
        </is>
      </c>
      <c r="I11" s="25" t="inlineStr">
        <is>
          <t>SIM · Empresa, local y numeración ficticios.</t>
        </is>
      </c>
    </row>
    <row r="12" ht="15" customHeight="1">
      <c r="A12" s="25" t="inlineStr">
        <is>
          <t>DIR-SIM-008</t>
        </is>
      </c>
      <c r="B12" s="25" t="inlineStr">
        <is>
          <t>CLI-SIM-012</t>
        </is>
      </c>
      <c r="C12" s="25" t="inlineStr">
        <is>
          <t>Ampliación segundo piso — vivienda Espinoza</t>
        </is>
      </c>
      <c r="D12" s="25" t="inlineStr">
        <is>
          <t>Mz. D Lt. 21, Asociación Las Lomas del Pacífico</t>
        </is>
      </c>
      <c r="E12" s="25" t="inlineStr">
        <is>
          <t>Ancón</t>
        </is>
      </c>
      <c r="F12" s="25" t="inlineStr">
        <is>
          <t>Destino alejado; cotizar traslado por separado y confirmar acceso antes de ofrecer entrega.</t>
        </is>
      </c>
      <c r="G12" s="25" t="inlineStr">
        <is>
          <t>Activa</t>
        </is>
      </c>
      <c r="H12" s="25" t="inlineStr">
        <is>
          <t>WhatsApp</t>
        </is>
      </c>
      <c r="I12" s="25" t="inlineStr">
        <is>
          <t>SIM · Asociación, lote y predio ficticios.</t>
        </is>
      </c>
    </row>
    <row r="13" ht="15" customHeight="1">
      <c r="A13" s="25" t="inlineStr">
        <is>
          <t>DIR-SIM-009</t>
        </is>
      </c>
      <c r="B13" s="25" t="inlineStr">
        <is>
          <t>CLI-SIM-004</t>
        </is>
      </c>
      <c r="C13" s="25" t="inlineStr">
        <is>
          <t>Reparación interior — vivienda Paredes</t>
        </is>
      </c>
      <c r="D13" s="25" t="inlineStr">
        <is>
          <t>Jr. Las Gardenias 156, Urb. Condevilla</t>
        </is>
      </c>
      <c r="E13" s="25" t="inlineStr">
        <is>
          <t>San Martín de Porres</t>
        </is>
      </c>
      <c r="F13" s="25" t="inlineStr">
        <is>
          <t>Compra pequeña; Carmen recoge brochas y discos en la tienda.</t>
        </is>
      </c>
      <c r="G13" s="25" t="inlineStr">
        <is>
          <t>Activa</t>
        </is>
      </c>
      <c r="H13" s="25" t="inlineStr">
        <is>
          <t>Presencial</t>
        </is>
      </c>
      <c r="I13" s="25" t="inlineStr">
        <is>
          <t>SIM · Numeración y predio ficticios.</t>
        </is>
      </c>
    </row>
    <row r="14" ht="15" customHeight="1">
      <c r="A14" s="25" t="inlineStr">
        <is>
          <t>DIR-SIM-010</t>
        </is>
      </c>
      <c r="B14" s="25" t="inlineStr">
        <is>
          <t>CLI-SIM-005</t>
        </is>
      </c>
      <c r="C14" s="25" t="inlineStr">
        <is>
          <t>Pintado de fachada — vivienda Mendoza</t>
        </is>
      </c>
      <c r="D14" s="25" t="inlineStr">
        <is>
          <t>Calle Los Nísperos 208, Urb. Antares</t>
        </is>
      </c>
      <c r="E14" s="25" t="inlineStr">
        <is>
          <t>San Martín de Porres</t>
        </is>
      </c>
      <c r="F14" s="25" t="inlineStr">
        <is>
          <t>Fachada de dos niveles; confirmar color blanco antes de cerrar propuesta.</t>
        </is>
      </c>
      <c r="G14" s="25" t="inlineStr">
        <is>
          <t>Activa</t>
        </is>
      </c>
      <c r="H14" s="25" t="inlineStr">
        <is>
          <t>WhatsApp</t>
        </is>
      </c>
      <c r="I14" s="25" t="inlineStr">
        <is>
          <t>SIM · Numeración y predio ficticios.</t>
        </is>
      </c>
    </row>
    <row r="15" ht="15" customHeight="1">
      <c r="A15" s="25" t="inlineStr">
        <is>
          <t>DIR-SIM-011</t>
        </is>
      </c>
      <c r="B15" s="25" t="inlineStr">
        <is>
          <t>CLI-SIM-008</t>
        </is>
      </c>
      <c r="C15" s="25" t="inlineStr">
        <is>
          <t>Mantenimiento de vivienda — Salazar</t>
        </is>
      </c>
      <c r="D15" s="25" t="inlineStr">
        <is>
          <t>Jr. Los Fresnos 375, Urb. Santa Luzmila</t>
        </is>
      </c>
      <c r="E15" s="25" t="inlineStr">
        <is>
          <t>Comas</t>
        </is>
      </c>
      <c r="F15" s="25" t="inlineStr">
        <is>
          <t>Sin trabajo activo; referencia conservada para consultas posteriores.</t>
        </is>
      </c>
      <c r="G15" s="25" t="inlineStr">
        <is>
          <t>Inactiva</t>
        </is>
      </c>
      <c r="H15" s="25" t="inlineStr">
        <is>
          <t>Presencial</t>
        </is>
      </c>
      <c r="I15" s="25" t="inlineStr">
        <is>
          <t>SIM · Numeración y predio ficticios.</t>
        </is>
      </c>
    </row>
    <row r="16" ht="15" customHeight="1">
      <c r="A16" s="25" t="inlineStr">
        <is>
          <t>DIR-SIM-012</t>
        </is>
      </c>
      <c r="B16" s="25" t="inlineStr">
        <is>
          <t>CLI-SIM-011</t>
        </is>
      </c>
      <c r="C16" s="25" t="inlineStr">
        <is>
          <t>Reparaciones domésticas — Villanueva</t>
        </is>
      </c>
      <c r="D16" s="25" t="inlineStr">
        <is>
          <t>Calle Las Acacias 119, Urb. Los Jardines</t>
        </is>
      </c>
      <c r="E16" s="25" t="inlineStr">
        <is>
          <t>San Martín de Porres</t>
        </is>
      </c>
      <c r="F16" s="25" t="inlineStr">
        <is>
          <t>Retiro en tienda; no programar reparto para la consulta inicial.</t>
        </is>
      </c>
      <c r="G16" s="25" t="inlineStr">
        <is>
          <t>Activa</t>
        </is>
      </c>
      <c r="H16" s="25" t="inlineStr">
        <is>
          <t>Presencial</t>
        </is>
      </c>
      <c r="I16" s="25" t="inlineStr">
        <is>
          <t>SIM · Numeración y predio ficticios.</t>
        </is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16" customWidth="1" min="1" max="1"/>
    <col width="54" customWidth="1" min="2" max="2"/>
    <col width="30" customWidth="1" min="3" max="3"/>
    <col width="36" customWidth="1" min="4" max="4"/>
    <col width="18" customWidth="1" min="5" max="5"/>
    <col width="22" customWidth="1" min="6" max="6"/>
    <col width="14" customWidth="1" min="7" max="7"/>
    <col width="66" customWidth="1" min="8" max="8"/>
  </cols>
  <sheetData>
    <row r="1" ht="24" customHeight="1">
      <c r="A1" s="7" t="inlineStr">
        <is>
          <t>Productos de referencia sintéticos</t>
        </is>
      </c>
      <c r="B1" s="1" t="n"/>
      <c r="C1" s="1" t="n"/>
      <c r="D1" s="1" t="n"/>
      <c r="E1" s="1" t="n"/>
      <c r="F1" s="1" t="n"/>
      <c r="G1" s="1" t="n"/>
      <c r="H1" s="1" t="n"/>
    </row>
    <row r="2" ht="30" customHeight="1">
      <c r="A2" s="13" t="inlineStr">
        <is>
          <t>Las descripciones reflejan líneas reales del rubro; los códigos, marcas y precios usados en otros sheets son simulados.</t>
        </is>
      </c>
      <c r="B2" s="1" t="n"/>
      <c r="C2" s="1" t="n"/>
      <c r="D2" s="1" t="n"/>
      <c r="E2" s="1" t="n"/>
      <c r="F2" s="1" t="n"/>
      <c r="G2" s="1" t="n"/>
      <c r="H2" s="1" t="n"/>
    </row>
    <row r="3"/>
    <row r="4">
      <c r="A4" s="18" t="inlineStr">
        <is>
          <t>id_producto</t>
        </is>
      </c>
      <c r="B4" s="18" t="inlineStr">
        <is>
          <t>descripcion</t>
        </is>
      </c>
      <c r="C4" s="18" t="inlineStr">
        <is>
          <t>marca</t>
        </is>
      </c>
      <c r="D4" s="18" t="inlineStr">
        <is>
          <t>presentacion</t>
        </is>
      </c>
      <c r="E4" s="18" t="inlineStr">
        <is>
          <t>unidad_medida</t>
        </is>
      </c>
      <c r="F4" s="18" t="inlineStr">
        <is>
          <t>categoria</t>
        </is>
      </c>
      <c r="G4" s="18" t="inlineStr">
        <is>
          <t>estado</t>
        </is>
      </c>
      <c r="H4" s="18" t="inlineStr">
        <is>
          <t>nota</t>
        </is>
      </c>
    </row>
    <row r="5" ht="15" customHeight="1">
      <c r="A5" s="25" t="inlineStr">
        <is>
          <t>PRD-SIM-001</t>
        </is>
      </c>
      <c r="B5" s="25" t="inlineStr">
        <is>
          <t>Cemento Portland tipo I 42.5 kg</t>
        </is>
      </c>
      <c r="C5" s="25" t="inlineStr">
        <is>
          <t>Cementos Alto Valle</t>
        </is>
      </c>
      <c r="D5" s="25" t="inlineStr">
        <is>
          <t>Bolsa de 42.5 kg</t>
        </is>
      </c>
      <c r="E5" s="25" t="inlineStr">
        <is>
          <t>bolsa</t>
        </is>
      </c>
      <c r="F5" s="25" t="inlineStr">
        <is>
          <t>Cemento</t>
        </is>
      </c>
      <c r="G5" s="25" t="inlineStr">
        <is>
          <t>Activo</t>
        </is>
      </c>
      <c r="H5" s="25" t="inlineStr">
        <is>
          <t>SIM · Marca y ficha ficticias; no es catálogo comercial de MIGAL.</t>
        </is>
      </c>
    </row>
    <row r="6" ht="15" customHeight="1">
      <c r="A6" s="25" t="inlineStr">
        <is>
          <t>PRD-SIM-002</t>
        </is>
      </c>
      <c r="B6" s="25" t="inlineStr">
        <is>
          <t>Barra corrugada de acero 1/2 pulg x 9 m</t>
        </is>
      </c>
      <c r="C6" s="25" t="inlineStr">
        <is>
          <t>Aceros Forjanorte</t>
        </is>
      </c>
      <c r="D6" s="25" t="inlineStr">
        <is>
          <t>Varilla de 9 m</t>
        </is>
      </c>
      <c r="E6" s="25" t="inlineStr">
        <is>
          <t>unidad</t>
        </is>
      </c>
      <c r="F6" s="25" t="inlineStr">
        <is>
          <t>Fierro</t>
        </is>
      </c>
      <c r="G6" s="25" t="inlineStr">
        <is>
          <t>Activo</t>
        </is>
      </c>
      <c r="H6" s="25" t="inlineStr">
        <is>
          <t>SIM · Marca y ficha ficticias; no es catálogo comercial de MIGAL.</t>
        </is>
      </c>
    </row>
    <row r="7" ht="15" customHeight="1">
      <c r="A7" s="25" t="inlineStr">
        <is>
          <t>PRD-SIM-003</t>
        </is>
      </c>
      <c r="B7" s="25" t="inlineStr">
        <is>
          <t>Tubo PVC para agua fría 1/2 pulg x 5 m, clase 10</t>
        </is>
      </c>
      <c r="C7" s="25" t="inlineStr">
        <is>
          <t>HidroNorte</t>
        </is>
      </c>
      <c r="D7" s="25" t="inlineStr">
        <is>
          <t>Tubo de 5 m</t>
        </is>
      </c>
      <c r="E7" s="25" t="inlineStr">
        <is>
          <t>unidad</t>
        </is>
      </c>
      <c r="F7" s="25" t="inlineStr">
        <is>
          <t>Gasfitería</t>
        </is>
      </c>
      <c r="G7" s="25" t="inlineStr">
        <is>
          <t>Activo</t>
        </is>
      </c>
      <c r="H7" s="25" t="inlineStr">
        <is>
          <t>SIM · Marca y ficha ficticias; no es catálogo comercial de MIGAL.</t>
        </is>
      </c>
    </row>
    <row r="8" ht="15" customHeight="1">
      <c r="A8" s="25" t="inlineStr">
        <is>
          <t>PRD-SIM-004</t>
        </is>
      </c>
      <c r="B8" s="25" t="inlineStr">
        <is>
          <t>Tubo PVC para desagüe 4 pulg x 3 m</t>
        </is>
      </c>
      <c r="C8" s="25" t="inlineStr">
        <is>
          <t>HidroNorte</t>
        </is>
      </c>
      <c r="D8" s="25" t="inlineStr">
        <is>
          <t>Tubo de 3 m</t>
        </is>
      </c>
      <c r="E8" s="25" t="inlineStr">
        <is>
          <t>unidad</t>
        </is>
      </c>
      <c r="F8" s="25" t="inlineStr">
        <is>
          <t>Gasfitería</t>
        </is>
      </c>
      <c r="G8" s="25" t="inlineStr">
        <is>
          <t>Activo</t>
        </is>
      </c>
      <c r="H8" s="25" t="inlineStr">
        <is>
          <t>SIM · Marca y ficha ficticias; no es catálogo comercial de MIGAL.</t>
        </is>
      </c>
    </row>
    <row r="9" ht="15" customHeight="1">
      <c r="A9" s="25" t="inlineStr">
        <is>
          <t>PRD-SIM-005</t>
        </is>
      </c>
      <c r="B9" s="25" t="inlineStr">
        <is>
          <t>Arena gruesa lavada para concreto</t>
        </is>
      </c>
      <c r="C9" s="25" t="inlineStr">
        <is>
          <t>Cantera Río Seco</t>
        </is>
      </c>
      <c r="D9" s="25" t="inlineStr">
        <is>
          <t>Venta por metro cúbico</t>
        </is>
      </c>
      <c r="E9" s="25" t="inlineStr">
        <is>
          <t>m3</t>
        </is>
      </c>
      <c r="F9" s="25" t="inlineStr">
        <is>
          <t>Agregados</t>
        </is>
      </c>
      <c r="G9" s="25" t="inlineStr">
        <is>
          <t>Activo</t>
        </is>
      </c>
      <c r="H9" s="25" t="inlineStr">
        <is>
          <t>SIM · Marca y ficha ficticias; no es catálogo comercial de MIGAL.</t>
        </is>
      </c>
    </row>
    <row r="10" ht="15" customHeight="1">
      <c r="A10" s="25" t="inlineStr">
        <is>
          <t>PRD-SIM-006</t>
        </is>
      </c>
      <c r="B10" s="25" t="inlineStr">
        <is>
          <t>Arena fina para tarrajeo</t>
        </is>
      </c>
      <c r="C10" s="25" t="inlineStr">
        <is>
          <t>Cantera Río Seco</t>
        </is>
      </c>
      <c r="D10" s="25" t="inlineStr">
        <is>
          <t>Venta por metro cúbico</t>
        </is>
      </c>
      <c r="E10" s="25" t="inlineStr">
        <is>
          <t>m3</t>
        </is>
      </c>
      <c r="F10" s="25" t="inlineStr">
        <is>
          <t>Agregados</t>
        </is>
      </c>
      <c r="G10" s="25" t="inlineStr">
        <is>
          <t>Activo</t>
        </is>
      </c>
      <c r="H10" s="25" t="inlineStr">
        <is>
          <t>SIM · Marca y ficha ficticias; no es catálogo comercial de MIGAL.</t>
        </is>
      </c>
    </row>
    <row r="11" ht="15" customHeight="1">
      <c r="A11" s="25" t="inlineStr">
        <is>
          <t>PRD-SIM-007</t>
        </is>
      </c>
      <c r="B11" s="25" t="inlineStr">
        <is>
          <t>Piedra chancada de 1/2 pulg</t>
        </is>
      </c>
      <c r="C11" s="25" t="inlineStr">
        <is>
          <t>Cantera Río Seco</t>
        </is>
      </c>
      <c r="D11" s="25" t="inlineStr">
        <is>
          <t>Venta por metro cúbico</t>
        </is>
      </c>
      <c r="E11" s="25" t="inlineStr">
        <is>
          <t>m3</t>
        </is>
      </c>
      <c r="F11" s="25" t="inlineStr">
        <is>
          <t>Agregados</t>
        </is>
      </c>
      <c r="G11" s="25" t="inlineStr">
        <is>
          <t>Activo</t>
        </is>
      </c>
      <c r="H11" s="25" t="inlineStr">
        <is>
          <t>SIM · Marca y ficha ficticias; no es catálogo comercial de MIGAL.</t>
        </is>
      </c>
    </row>
    <row r="12" ht="15" customHeight="1">
      <c r="A12" s="25" t="inlineStr">
        <is>
          <t>PRD-SIM-008</t>
        </is>
      </c>
      <c r="B12" s="25" t="inlineStr">
        <is>
          <t>Ladrillo pandereta acanalado 9 x 12 x 23 cm</t>
        </is>
      </c>
      <c r="C12" s="25" t="inlineStr">
        <is>
          <t>Cerámicos Arcilla Norte</t>
        </is>
      </c>
      <c r="D12" s="25" t="inlineStr">
        <is>
          <t>Pieza de 9 x 12 x 23 cm</t>
        </is>
      </c>
      <c r="E12" s="25" t="inlineStr">
        <is>
          <t>unidad</t>
        </is>
      </c>
      <c r="F12" s="25" t="inlineStr">
        <is>
          <t>Albañilería</t>
        </is>
      </c>
      <c r="G12" s="25" t="inlineStr">
        <is>
          <t>Activo</t>
        </is>
      </c>
      <c r="H12" s="25" t="inlineStr">
        <is>
          <t>SIM · Marca y ficha ficticias; no es catálogo comercial de MIGAL.</t>
        </is>
      </c>
    </row>
    <row r="13" ht="15" customHeight="1">
      <c r="A13" s="25" t="inlineStr">
        <is>
          <t>PRD-SIM-009</t>
        </is>
      </c>
      <c r="B13" s="25" t="inlineStr">
        <is>
          <t>Ladrillo de techo hueco de 15 cm</t>
        </is>
      </c>
      <c r="C13" s="25" t="inlineStr">
        <is>
          <t>Cerámicos Arcilla Norte</t>
        </is>
      </c>
      <c r="D13" s="25" t="inlineStr">
        <is>
          <t>Pieza de 15 x 30 x 30 cm</t>
        </is>
      </c>
      <c r="E13" s="25" t="inlineStr">
        <is>
          <t>unidad</t>
        </is>
      </c>
      <c r="F13" s="25" t="inlineStr">
        <is>
          <t>Albañilería</t>
        </is>
      </c>
      <c r="G13" s="25" t="inlineStr">
        <is>
          <t>Activo</t>
        </is>
      </c>
      <c r="H13" s="25" t="inlineStr">
        <is>
          <t>SIM · Marca y ficha ficticias; no es catálogo comercial de MIGAL.</t>
        </is>
      </c>
    </row>
    <row r="14" ht="15" customHeight="1">
      <c r="A14" s="25" t="inlineStr">
        <is>
          <t>PRD-SIM-010</t>
        </is>
      </c>
      <c r="B14" s="25" t="inlineStr">
        <is>
          <t>Cable de cobre TW 2.5 mm2 color rojo</t>
        </is>
      </c>
      <c r="C14" s="25" t="inlineStr">
        <is>
          <t>Conductores Voltacobre</t>
        </is>
      </c>
      <c r="D14" s="25" t="inlineStr">
        <is>
          <t>Rollo de 100 m</t>
        </is>
      </c>
      <c r="E14" s="25" t="inlineStr">
        <is>
          <t>rollo</t>
        </is>
      </c>
      <c r="F14" s="25" t="inlineStr">
        <is>
          <t>Eléctrico</t>
        </is>
      </c>
      <c r="G14" s="25" t="inlineStr">
        <is>
          <t>Activo</t>
        </is>
      </c>
      <c r="H14" s="25" t="inlineStr">
        <is>
          <t>SIM · Marca y ficha ficticias; no es catálogo comercial de MIGAL.</t>
        </is>
      </c>
    </row>
    <row r="15" ht="15" customHeight="1">
      <c r="A15" s="25" t="inlineStr">
        <is>
          <t>PRD-SIM-011</t>
        </is>
      </c>
      <c r="B15" s="25" t="inlineStr">
        <is>
          <t>Tomacorriente doble universal empotrable</t>
        </is>
      </c>
      <c r="C15" s="25" t="inlineStr">
        <is>
          <t>ElectroNexo</t>
        </is>
      </c>
      <c r="D15" s="25" t="inlineStr">
        <is>
          <t>Placa blanca, 16 A</t>
        </is>
      </c>
      <c r="E15" s="25" t="inlineStr">
        <is>
          <t>unidad</t>
        </is>
      </c>
      <c r="F15" s="25" t="inlineStr">
        <is>
          <t>Eléctrico</t>
        </is>
      </c>
      <c r="G15" s="25" t="inlineStr">
        <is>
          <t>Activo</t>
        </is>
      </c>
      <c r="H15" s="25" t="inlineStr">
        <is>
          <t>SIM · Marca y ficha ficticias; no es catálogo comercial de MIGAL.</t>
        </is>
      </c>
    </row>
    <row r="16" ht="15" customHeight="1">
      <c r="A16" s="25" t="inlineStr">
        <is>
          <t>PRD-SIM-012</t>
        </is>
      </c>
      <c r="B16" s="25" t="inlineStr">
        <is>
          <t>Pintura látex blanco mate para interiores</t>
        </is>
      </c>
      <c r="C16" s="25" t="inlineStr">
        <is>
          <t>Pinturas Murofino</t>
        </is>
      </c>
      <c r="D16" s="25" t="inlineStr">
        <is>
          <t>Galón de 3.785 L</t>
        </is>
      </c>
      <c r="E16" s="25" t="inlineStr">
        <is>
          <t>galón</t>
        </is>
      </c>
      <c r="F16" s="25" t="inlineStr">
        <is>
          <t>Pinturas</t>
        </is>
      </c>
      <c r="G16" s="25" t="inlineStr">
        <is>
          <t>Activo</t>
        </is>
      </c>
      <c r="H16" s="25" t="inlineStr">
        <is>
          <t>SIM · Marca y ficha ficticias; no es catálogo comercial de MIGAL.</t>
        </is>
      </c>
    </row>
    <row r="17" ht="15" customHeight="1">
      <c r="A17" s="25" t="inlineStr">
        <is>
          <t>PRD-SIM-013</t>
        </is>
      </c>
      <c r="B17" s="25" t="inlineStr">
        <is>
          <t>Brocha de cerda mixta de 3 pulg</t>
        </is>
      </c>
      <c r="C17" s="25" t="inlineStr">
        <is>
          <t>Herramientas TallerPro</t>
        </is>
      </c>
      <c r="D17" s="25" t="inlineStr">
        <is>
          <t>Brocha de 3 pulg</t>
        </is>
      </c>
      <c r="E17" s="25" t="inlineStr">
        <is>
          <t>unidad</t>
        </is>
      </c>
      <c r="F17" s="25" t="inlineStr">
        <is>
          <t>Pinturas</t>
        </is>
      </c>
      <c r="G17" s="25" t="inlineStr">
        <is>
          <t>Activo</t>
        </is>
      </c>
      <c r="H17" s="25" t="inlineStr">
        <is>
          <t>SIM · Marca y ficha ficticias; no es catálogo comercial de MIGAL.</t>
        </is>
      </c>
    </row>
    <row r="18" ht="15" customHeight="1">
      <c r="A18" s="25" t="inlineStr">
        <is>
          <t>PRD-SIM-014</t>
        </is>
      </c>
      <c r="B18" s="25" t="inlineStr">
        <is>
          <t>Disco de corte para metal 4 1/2 pulg</t>
        </is>
      </c>
      <c r="C18" s="25" t="inlineStr">
        <is>
          <t>Herramientas TallerPro</t>
        </is>
      </c>
      <c r="D18" s="25" t="inlineStr">
        <is>
          <t>Disco de 115 mm</t>
        </is>
      </c>
      <c r="E18" s="25" t="inlineStr">
        <is>
          <t>unidad</t>
        </is>
      </c>
      <c r="F18" s="25" t="inlineStr">
        <is>
          <t>Herramientas</t>
        </is>
      </c>
      <c r="G18" s="25" t="inlineStr">
        <is>
          <t>Activo</t>
        </is>
      </c>
      <c r="H18" s="25" t="inlineStr">
        <is>
          <t>SIM · Marca y ficha ficticias; no es catálogo comercial de MIGAL.</t>
        </is>
      </c>
    </row>
    <row r="19" ht="15" customHeight="1">
      <c r="A19" s="25" t="inlineStr">
        <is>
          <t>PRD-SIM-015</t>
        </is>
      </c>
      <c r="B19" s="25" t="inlineStr">
        <is>
          <t>Destornillador Phillips PH2 x 6 pulg</t>
        </is>
      </c>
      <c r="C19" s="25" t="inlineStr">
        <is>
          <t>Herramientas TallerPro</t>
        </is>
      </c>
      <c r="D19" s="25" t="inlineStr">
        <is>
          <t>Unidad, mango aislante</t>
        </is>
      </c>
      <c r="E19" s="25" t="inlineStr">
        <is>
          <t>unidad</t>
        </is>
      </c>
      <c r="F19" s="25" t="inlineStr">
        <is>
          <t>Herramientas</t>
        </is>
      </c>
      <c r="G19" s="25" t="inlineStr">
        <is>
          <t>Activo</t>
        </is>
      </c>
      <c r="H19" s="25" t="inlineStr">
        <is>
          <t>SIM · Marca y ficha ficticias; no es catálogo comercial de MIGAL.</t>
        </is>
      </c>
    </row>
    <row r="20" ht="15" customHeight="1">
      <c r="A20" s="25" t="inlineStr">
        <is>
          <t>PRD-SIM-016</t>
        </is>
      </c>
      <c r="B20" s="25" t="inlineStr">
        <is>
          <t>Clavo de acero para madera de 3 pulg</t>
        </is>
      </c>
      <c r="C20" s="25" t="inlineStr">
        <is>
          <t>Fijaciones Ferronorte</t>
        </is>
      </c>
      <c r="D20" s="25" t="inlineStr">
        <is>
          <t>Venta por kilogramo</t>
        </is>
      </c>
      <c r="E20" s="25" t="inlineStr">
        <is>
          <t>kg</t>
        </is>
      </c>
      <c r="F20" s="25" t="inlineStr">
        <is>
          <t>Ferretería general</t>
        </is>
      </c>
      <c r="G20" s="25" t="inlineStr">
        <is>
          <t>Activo</t>
        </is>
      </c>
      <c r="H20" s="25" t="inlineStr">
        <is>
          <t>SIM · Marca y ficha ficticias; no es catálogo comercial de MIGAL.</t>
        </is>
      </c>
    </row>
    <row r="21" ht="15" customHeight="1">
      <c r="A21" s="25" t="inlineStr">
        <is>
          <t>PRD-SIM-017</t>
        </is>
      </c>
      <c r="B21" s="25" t="inlineStr">
        <is>
          <t>Tornillo autorroscante 8 x 1 1/2 pulg</t>
        </is>
      </c>
      <c r="C21" s="25" t="inlineStr">
        <is>
          <t>Fijaciones Ferronorte</t>
        </is>
      </c>
      <c r="D21" s="25" t="inlineStr">
        <is>
          <t>Caja de 100 unidades</t>
        </is>
      </c>
      <c r="E21" s="25" t="inlineStr">
        <is>
          <t>caja</t>
        </is>
      </c>
      <c r="F21" s="25" t="inlineStr">
        <is>
          <t>Ferretería general</t>
        </is>
      </c>
      <c r="G21" s="25" t="inlineStr">
        <is>
          <t>Activo</t>
        </is>
      </c>
      <c r="H21" s="25" t="inlineStr">
        <is>
          <t>SIM · Marca y ficha ficticias; no es catálogo comercial de MIGAL.</t>
        </is>
      </c>
    </row>
    <row r="22" ht="15" customHeight="1">
      <c r="A22" s="25" t="inlineStr">
        <is>
          <t>PRD-SIM-018</t>
        </is>
      </c>
      <c r="B22" s="25" t="inlineStr">
        <is>
          <t>Guantes de cuero reforzado para obra</t>
        </is>
      </c>
      <c r="C22" s="25" t="inlineStr">
        <is>
          <t>Seguridad ManoFirme</t>
        </is>
      </c>
      <c r="D22" s="25" t="inlineStr">
        <is>
          <t>Par, talla L</t>
        </is>
      </c>
      <c r="E22" s="25" t="inlineStr">
        <is>
          <t>par</t>
        </is>
      </c>
      <c r="F22" s="25" t="inlineStr">
        <is>
          <t>Seguridad</t>
        </is>
      </c>
      <c r="G22" s="25" t="inlineStr">
        <is>
          <t>Activo</t>
        </is>
      </c>
      <c r="H22" s="25" t="inlineStr">
        <is>
          <t>SIM · Marca y ficha ficticias; no es catálogo comercial de MIGAL.</t>
        </is>
      </c>
    </row>
    <row r="23" ht="15" customHeight="1">
      <c r="A23" s="25" t="inlineStr">
        <is>
          <t>PRD-SIM-019</t>
        </is>
      </c>
      <c r="B23" s="25" t="inlineStr">
        <is>
          <t>Tanque de agua de polietileno 1100 L</t>
        </is>
      </c>
      <c r="C23" s="25" t="inlineStr">
        <is>
          <t>AquaReserva</t>
        </is>
      </c>
      <c r="D23" s="25" t="inlineStr">
        <is>
          <t>Tanque de 1100 L</t>
        </is>
      </c>
      <c r="E23" s="25" t="inlineStr">
        <is>
          <t>unidad</t>
        </is>
      </c>
      <c r="F23" s="25" t="inlineStr">
        <is>
          <t>Gasfitería</t>
        </is>
      </c>
      <c r="G23" s="25" t="inlineStr">
        <is>
          <t>Activo</t>
        </is>
      </c>
      <c r="H23" s="25" t="inlineStr">
        <is>
          <t>SIM · Marca y ficha ficticias; no es catálogo comercial de MIGAL.</t>
        </is>
      </c>
    </row>
    <row r="24" ht="15" customHeight="1">
      <c r="A24" s="25" t="inlineStr">
        <is>
          <t>PRD-SIM-020</t>
        </is>
      </c>
      <c r="B24" s="25" t="inlineStr">
        <is>
          <t>Adhesivo PVC para tubería de agua</t>
        </is>
      </c>
      <c r="C24" s="25" t="inlineStr">
        <is>
          <t>HidroNorte</t>
        </is>
      </c>
      <c r="D24" s="25" t="inlineStr">
        <is>
          <t>Frasco de 250 mL</t>
        </is>
      </c>
      <c r="E24" s="25" t="inlineStr">
        <is>
          <t>unidad</t>
        </is>
      </c>
      <c r="F24" s="25" t="inlineStr">
        <is>
          <t>Gasfitería</t>
        </is>
      </c>
      <c r="G24" s="25" t="inlineStr">
        <is>
          <t>Activo</t>
        </is>
      </c>
      <c r="H24" s="25" t="inlineStr">
        <is>
          <t>SIM · Marca y ficha ficticias; no es catálogo comercial de MIGAL.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7" customWidth="1" min="4" max="4"/>
    <col width="20" customWidth="1" min="5" max="5"/>
    <col width="18" customWidth="1" min="6" max="6"/>
    <col width="16" customWidth="1" min="7" max="7"/>
    <col width="24" customWidth="1" min="8" max="8"/>
    <col width="88" customWidth="1" min="9" max="9"/>
    <col width="20" customWidth="1" min="10" max="10"/>
    <col width="18" customWidth="1" min="11" max="11"/>
    <col width="20" customWidth="1" min="12" max="12"/>
    <col width="78" customWidth="1" min="13" max="13"/>
    <col width="70" customWidth="1" min="14" max="14"/>
  </cols>
  <sheetData>
    <row r="1" ht="24" customHeight="1">
      <c r="A1" s="7" t="inlineStr">
        <is>
          <t>Oportunidades comerciales sintéticas</t>
        </is>
      </c>
      <c r="B1" s="1" t="n"/>
      <c r="C1" s="1" t="n"/>
      <c r="D1" s="1" t="n"/>
      <c r="E1" s="1" t="n"/>
      <c r="F1" s="1" t="n"/>
      <c r="G1" s="1" t="n"/>
      <c r="H1" s="1" t="n"/>
    </row>
    <row r="2"/>
    <row r="3"/>
    <row r="4">
      <c r="A4" s="18" t="inlineStr">
        <is>
          <t>id_oportunidad</t>
        </is>
      </c>
      <c r="B4" s="18" t="inlineStr">
        <is>
          <t>id_cliente</t>
        </is>
      </c>
      <c r="C4" s="18" t="inlineStr">
        <is>
          <t>id_contacto</t>
        </is>
      </c>
      <c r="D4" s="18" t="inlineStr">
        <is>
          <t>necesidad</t>
        </is>
      </c>
      <c r="E4" s="18" t="inlineStr">
        <is>
          <t>origen</t>
        </is>
      </c>
      <c r="F4" s="18" t="inlineStr">
        <is>
          <t>etapa</t>
        </is>
      </c>
      <c r="G4" s="18" t="inlineStr">
        <is>
          <t>probabilidad</t>
        </is>
      </c>
      <c r="H4" s="18" t="inlineStr">
        <is>
          <t>competencia_referencia</t>
        </is>
      </c>
      <c r="I4" s="18" t="inlineStr">
        <is>
          <t>proxima_accion</t>
        </is>
      </c>
      <c r="J4" s="18" t="inlineStr">
        <is>
          <t>fecha_proxima_accion</t>
        </is>
      </c>
      <c r="K4" s="18" t="inlineStr">
        <is>
          <t>responsable</t>
        </is>
      </c>
      <c r="L4" s="18" t="inlineStr">
        <is>
          <t>resultado</t>
        </is>
      </c>
      <c r="M4" s="18" t="inlineStr">
        <is>
          <t>motivo_no_adjudicacion</t>
        </is>
      </c>
      <c r="N4" s="18" t="inlineStr">
        <is>
          <t>nota</t>
        </is>
      </c>
    </row>
    <row r="5" ht="15" customHeight="1">
      <c r="A5" s="25" t="inlineStr">
        <is>
          <t>OPP-SIM-001</t>
        </is>
      </c>
      <c r="B5" s="25" t="inlineStr">
        <is>
          <t>CLI-SIM-001</t>
        </is>
      </c>
      <c r="C5" s="25" t="inlineStr">
        <is>
          <t>CON-SIM-002</t>
        </is>
      </c>
      <c r="D5" s="25" t="inlineStr">
        <is>
          <t>100 bolsas de cemento, 40 barras de 1/2 pulg y 20 tubos de agua para tercer piso en Naranjal.</t>
        </is>
      </c>
      <c r="E5" s="25" t="inlineStr">
        <is>
          <t>Referido maestro</t>
        </is>
      </c>
      <c r="F5" s="25" t="inlineStr">
        <is>
          <t>Cotización</t>
        </is>
      </c>
      <c r="G5" s="25" t="inlineStr">
        <is>
          <t>Alta</t>
        </is>
      </c>
      <c r="H5" s="25" t="inlineStr">
        <is>
          <t>Sí</t>
        </is>
      </c>
      <c r="I5" s="25" t="inlineStr">
        <is>
          <t>Escribir a Rosa Huamán para confirmar revisión de COT-SIM-001-V01 con Luis Salcedo.</t>
        </is>
      </c>
      <c r="J5" s="38" t="n">
        <v>46312</v>
      </c>
      <c r="K5" s="25" t="inlineStr">
        <is>
          <t>Propietaria</t>
        </is>
      </c>
      <c r="L5" s="25" t="inlineStr">
        <is>
          <t>Abierta</t>
        </is>
      </c>
      <c r="M5" s="25" t="str"/>
      <c r="N5" s="25" t="inlineStr">
        <is>
          <t>SIM · Historia comercial ficticia; no prueba venta, reserva, entrega ni pago.</t>
        </is>
      </c>
    </row>
    <row r="6" ht="15" customHeight="1">
      <c r="A6" s="25" t="inlineStr">
        <is>
          <t>OPP-SIM-002</t>
        </is>
      </c>
      <c r="B6" s="25" t="inlineStr">
        <is>
          <t>CLI-SIM-002</t>
        </is>
      </c>
      <c r="C6" s="25" t="inlineStr">
        <is>
          <t>CON-SIM-004</t>
        </is>
      </c>
      <c r="D6" s="25" t="inlineStr">
        <is>
          <t>80 bolsas de cemento y 60 barras corrugadas para columnas de vivienda en San Diego.</t>
        </is>
      </c>
      <c r="E6" s="25" t="inlineStr">
        <is>
          <t>WhatsApp</t>
        </is>
      </c>
      <c r="F6" s="25" t="inlineStr">
        <is>
          <t>Cerrada</t>
        </is>
      </c>
      <c r="G6" s="25" t="inlineStr">
        <is>
          <t>Alta</t>
        </is>
      </c>
      <c r="H6" s="25" t="inlineStr">
        <is>
          <t>Sí</t>
        </is>
      </c>
      <c r="I6" s="25" t="inlineStr">
        <is>
          <t>Registrar cierre parcial: Julio Rojas adjudica cemento; el fierro queda con otra ferretería.</t>
        </is>
      </c>
      <c r="J6" s="38" t="n">
        <v>46312</v>
      </c>
      <c r="K6" s="25" t="inlineStr">
        <is>
          <t>Dueño</t>
        </is>
      </c>
      <c r="L6" s="25" t="inlineStr">
        <is>
          <t>Ganada parcial</t>
        </is>
      </c>
      <c r="M6" s="25" t="inlineStr">
        <is>
          <t>Fierro comprado a otra ferretería por menor precio; cemento adjudicado a MIGAL.</t>
        </is>
      </c>
      <c r="N6" s="25" t="inlineStr">
        <is>
          <t>SIM · Historia comercial ficticia; no prueba venta, reserva, entrega ni pago.</t>
        </is>
      </c>
    </row>
    <row r="7" ht="15" customHeight="1">
      <c r="A7" s="25" t="inlineStr">
        <is>
          <t>OPP-SIM-003</t>
        </is>
      </c>
      <c r="B7" s="25" t="inlineStr">
        <is>
          <t>CLI-SIM-003</t>
        </is>
      </c>
      <c r="C7" s="25" t="inlineStr">
        <is>
          <t>CON-SIM-005</t>
        </is>
      </c>
      <c r="D7" s="25" t="inlineStr">
        <is>
          <t>Cambiar red de agua y desagüe de dos baños; Miguel Yupanqui enviará medidas de la vivienda en Pro.</t>
        </is>
      </c>
      <c r="E7" s="25" t="inlineStr">
        <is>
          <t>Referido maestro</t>
        </is>
      </c>
      <c r="F7" s="25" t="inlineStr">
        <is>
          <t>Oportunidad</t>
        </is>
      </c>
      <c r="G7" s="25" t="inlineStr">
        <is>
          <t>Media</t>
        </is>
      </c>
      <c r="H7" s="25" t="inlineStr">
        <is>
          <t>No</t>
        </is>
      </c>
      <c r="I7" s="25" t="inlineStr">
        <is>
          <t>Pedir a Miguel Yupanqui metrado y diámetros de conexiones de ambos baños.</t>
        </is>
      </c>
      <c r="J7" s="38" t="n">
        <v>46313</v>
      </c>
      <c r="K7" s="25" t="inlineStr">
        <is>
          <t>Propietaria</t>
        </is>
      </c>
      <c r="L7" s="25" t="inlineStr">
        <is>
          <t>Abierta</t>
        </is>
      </c>
      <c r="M7" s="25" t="str"/>
      <c r="N7" s="25" t="inlineStr">
        <is>
          <t>SIM · Historia comercial ficticia; no prueba venta, reserva, entrega ni pago.</t>
        </is>
      </c>
    </row>
    <row r="8" ht="15" customHeight="1">
      <c r="A8" s="25" t="inlineStr">
        <is>
          <t>OPP-SIM-004</t>
        </is>
      </c>
      <c r="B8" s="25" t="inlineStr">
        <is>
          <t>CLI-SIM-004</t>
        </is>
      </c>
      <c r="C8" s="25" t="inlineStr">
        <is>
          <t>CON-SIM-007</t>
        </is>
      </c>
      <c r="D8" s="25" t="inlineStr">
        <is>
          <t>4 brochas de 3 pulg y 3 discos para reparar sala y dormitorio de vivienda en Condevilla.</t>
        </is>
      </c>
      <c r="E8" s="25" t="inlineStr">
        <is>
          <t>Presencial</t>
        </is>
      </c>
      <c r="F8" s="25" t="inlineStr">
        <is>
          <t>Cerrada</t>
        </is>
      </c>
      <c r="G8" s="25" t="inlineStr">
        <is>
          <t>Media</t>
        </is>
      </c>
      <c r="H8" s="25" t="inlineStr">
        <is>
          <t>No</t>
        </is>
      </c>
      <c r="I8" s="25" t="inlineStr">
        <is>
          <t>Archivar aceptación de Carmen Paredes; coordinar retiro de brochas y discos en mostrador.</t>
        </is>
      </c>
      <c r="J8" s="38" t="n">
        <v>46312</v>
      </c>
      <c r="K8" s="25" t="inlineStr">
        <is>
          <t>Dueño</t>
        </is>
      </c>
      <c r="L8" s="25" t="inlineStr">
        <is>
          <t>Ganada total</t>
        </is>
      </c>
      <c r="M8" s="25" t="str"/>
      <c r="N8" s="25" t="inlineStr">
        <is>
          <t>SIM · Historia comercial ficticia; no prueba venta, reserva, entrega ni pago.</t>
        </is>
      </c>
    </row>
    <row r="9" ht="15" customHeight="1">
      <c r="A9" s="25" t="inlineStr">
        <is>
          <t>OPP-SIM-005</t>
        </is>
      </c>
      <c r="B9" s="25" t="inlineStr">
        <is>
          <t>CLI-SIM-005</t>
        </is>
      </c>
      <c r="C9" s="25" t="inlineStr">
        <is>
          <t>CON-SIM-008</t>
        </is>
      </c>
      <c r="D9" s="25" t="inlineStr">
        <is>
          <t>5 galones de látex blanco y 6 brochas para fachada de dos niveles en Antares.</t>
        </is>
      </c>
      <c r="E9" s="25" t="inlineStr">
        <is>
          <t>WhatsApp</t>
        </is>
      </c>
      <c r="F9" s="25" t="inlineStr">
        <is>
          <t>Cerrada</t>
        </is>
      </c>
      <c r="G9" s="25" t="inlineStr">
        <is>
          <t>Media</t>
        </is>
      </c>
      <c r="H9" s="25" t="inlineStr">
        <is>
          <t>Sí</t>
        </is>
      </c>
      <c r="I9" s="25" t="inlineStr">
        <is>
          <t>Cerrar como perdida; Luis Mendoza eligió precio menor para pintura y brochas.</t>
        </is>
      </c>
      <c r="J9" s="38" t="n">
        <v>46313</v>
      </c>
      <c r="K9" s="25" t="inlineStr">
        <is>
          <t>Propietaria</t>
        </is>
      </c>
      <c r="L9" s="25" t="inlineStr">
        <is>
          <t>Perdida</t>
        </is>
      </c>
      <c r="M9" s="25" t="inlineStr">
        <is>
          <t>Cotización completa no adjudicada por precio de pintura y brochas.</t>
        </is>
      </c>
      <c r="N9" s="25" t="inlineStr">
        <is>
          <t>SIM · Historia comercial ficticia; no prueba venta, reserva, entrega ni pago.</t>
        </is>
      </c>
    </row>
    <row r="10" ht="15" customHeight="1">
      <c r="A10" s="25" t="inlineStr">
        <is>
          <t>OPP-SIM-006</t>
        </is>
      </c>
      <c r="B10" s="25" t="inlineStr">
        <is>
          <t>CLI-SIM-006</t>
        </is>
      </c>
      <c r="C10" s="25" t="inlineStr">
        <is>
          <t>CON-SIM-009</t>
        </is>
      </c>
      <c r="D10" s="25" t="inlineStr">
        <is>
          <t>20 tubos PVC y 2 tanques de 1100 L para acondicionar consultorio en Palao.</t>
        </is>
      </c>
      <c r="E10" s="25" t="inlineStr">
        <is>
          <t>Referido</t>
        </is>
      </c>
      <c r="F10" s="25" t="inlineStr">
        <is>
          <t>Cerrada</t>
        </is>
      </c>
      <c r="G10" s="25" t="inlineStr">
        <is>
          <t>Alta</t>
        </is>
      </c>
      <c r="H10" s="25" t="inlineStr">
        <is>
          <t>No</t>
        </is>
      </c>
      <c r="I10" s="25" t="inlineStr">
        <is>
          <t>Conservar aceptación y condición de factura solicitada por Mariela Córdova.</t>
        </is>
      </c>
      <c r="J10" s="38" t="n">
        <v>46312</v>
      </c>
      <c r="K10" s="25" t="inlineStr">
        <is>
          <t>Propietaria</t>
        </is>
      </c>
      <c r="L10" s="25" t="inlineStr">
        <is>
          <t>Ganada total</t>
        </is>
      </c>
      <c r="M10" s="25" t="str"/>
      <c r="N10" s="25" t="inlineStr">
        <is>
          <t>SIM · Historia comercial ficticia; no prueba venta, reserva, entrega ni pago.</t>
        </is>
      </c>
    </row>
    <row r="11" ht="15" customHeight="1">
      <c r="A11" s="25" t="inlineStr">
        <is>
          <t>OPP-SIM-007</t>
        </is>
      </c>
      <c r="B11" s="25" t="inlineStr">
        <is>
          <t>CLI-SIM-007</t>
        </is>
      </c>
      <c r="C11" s="25" t="inlineStr">
        <is>
          <t>CON-SIM-010</t>
        </is>
      </c>
      <c r="D11" s="25" t="inlineStr">
        <is>
          <t>1200 ladrillos pandereta y 4 m3 de arena gruesa para muros en Puente Piedra.</t>
        </is>
      </c>
      <c r="E11" s="25" t="inlineStr">
        <is>
          <t>Teléfono</t>
        </is>
      </c>
      <c r="F11" s="25" t="inlineStr">
        <is>
          <t>Oportunidad</t>
        </is>
      </c>
      <c r="G11" s="25" t="inlineStr">
        <is>
          <t>Media</t>
        </is>
      </c>
      <c r="H11" s="25" t="inlineStr">
        <is>
          <t>No</t>
        </is>
      </c>
      <c r="I11" s="25" t="inlineStr">
        <is>
          <t>Llamar a Juan Huerta después de confirmar disponibilidad de ladrillo y acceso de descarga.</t>
        </is>
      </c>
      <c r="J11" s="38" t="n">
        <v>46312</v>
      </c>
      <c r="K11" s="25" t="inlineStr">
        <is>
          <t>Dueño</t>
        </is>
      </c>
      <c r="L11" s="25" t="inlineStr">
        <is>
          <t>Abierta</t>
        </is>
      </c>
      <c r="M11" s="25" t="str"/>
      <c r="N11" s="25" t="inlineStr">
        <is>
          <t>SIM · Historia comercial ficticia; no prueba venta, reserva, entrega ni pago.</t>
        </is>
      </c>
    </row>
    <row r="12" ht="15" customHeight="1">
      <c r="A12" s="25" t="inlineStr">
        <is>
          <t>OPP-SIM-008</t>
        </is>
      </c>
      <c r="B12" s="25" t="inlineStr">
        <is>
          <t>CLI-SIM-009</t>
        </is>
      </c>
      <c r="C12" s="25" t="inlineStr">
        <is>
          <t>CON-SIM-012</t>
        </is>
      </c>
      <c r="D12" s="25" t="inlineStr">
        <is>
          <t>150 bolsas de cemento y 100 barras de acero para vivienda familiar en Carabayllo.</t>
        </is>
      </c>
      <c r="E12" s="25" t="inlineStr">
        <is>
          <t>WhatsApp</t>
        </is>
      </c>
      <c r="F12" s="25" t="inlineStr">
        <is>
          <t>Cerrada</t>
        </is>
      </c>
      <c r="G12" s="25" t="inlineStr">
        <is>
          <t>Alta</t>
        </is>
      </c>
      <c r="H12" s="25" t="inlineStr">
        <is>
          <t>Sí</t>
        </is>
      </c>
      <c r="I12" s="25" t="inlineStr">
        <is>
          <t>Registrar compra parcial de Ana Torres; cemento adjudicado y fierro comprado a otro proveedor.</t>
        </is>
      </c>
      <c r="J12" s="38" t="n">
        <v>46312</v>
      </c>
      <c r="K12" s="25" t="inlineStr">
        <is>
          <t>Propietaria</t>
        </is>
      </c>
      <c r="L12" s="25" t="inlineStr">
        <is>
          <t>Ganada parcial</t>
        </is>
      </c>
      <c r="M12" s="25" t="inlineStr">
        <is>
          <t>Fierro comprado a otro proveedor; cemento adjudicado a MIGAL.</t>
        </is>
      </c>
      <c r="N12" s="25" t="inlineStr">
        <is>
          <t>SIM · Historia comercial ficticia; no prueba venta, reserva, entrega ni pago.</t>
        </is>
      </c>
    </row>
    <row r="13" ht="15" customHeight="1">
      <c r="A13" s="25" t="inlineStr">
        <is>
          <t>OPP-SIM-009</t>
        </is>
      </c>
      <c r="B13" s="25" t="inlineStr">
        <is>
          <t>CLI-SIM-010</t>
        </is>
      </c>
      <c r="C13" s="25" t="inlineStr">
        <is>
          <t>CON-SIM-013</t>
        </is>
      </c>
      <c r="D13" s="25" t="inlineStr">
        <is>
          <t>1 tanque de 1100 L y 15 tubos de agua para renovar red de local en Fiori.</t>
        </is>
      </c>
      <c r="E13" s="25" t="inlineStr">
        <is>
          <t>WhatsApp</t>
        </is>
      </c>
      <c r="F13" s="25" t="inlineStr">
        <is>
          <t>Cerrada</t>
        </is>
      </c>
      <c r="G13" s="25" t="inlineStr">
        <is>
          <t>Alta</t>
        </is>
      </c>
      <c r="H13" s="25" t="inlineStr">
        <is>
          <t>No</t>
        </is>
      </c>
      <c r="I13" s="25" t="inlineStr">
        <is>
          <t>Conservar aceptación de Renato Gálvez y dejar coordinación de entrega para etapa operativa.</t>
        </is>
      </c>
      <c r="J13" s="38" t="n">
        <v>46313</v>
      </c>
      <c r="K13" s="25" t="inlineStr">
        <is>
          <t>Dueño</t>
        </is>
      </c>
      <c r="L13" s="25" t="inlineStr">
        <is>
          <t>Ganada total</t>
        </is>
      </c>
      <c r="M13" s="25" t="str"/>
      <c r="N13" s="25" t="inlineStr">
        <is>
          <t>SIM · Historia comercial ficticia; no prueba venta, reserva, entrega ni pago.</t>
        </is>
      </c>
    </row>
    <row r="14" ht="15" customHeight="1">
      <c r="A14" s="25" t="inlineStr">
        <is>
          <t>OPP-SIM-010</t>
        </is>
      </c>
      <c r="B14" s="25" t="inlineStr">
        <is>
          <t>CLI-SIM-011</t>
        </is>
      </c>
      <c r="C14" s="25" t="inlineStr">
        <is>
          <t>CON-SIM-014</t>
        </is>
      </c>
      <c r="D14" s="25" t="inlineStr">
        <is>
          <t>Fijaciones y herramientas para muebles; José Villanueva aún debe precisar medidas y cantidades.</t>
        </is>
      </c>
      <c r="E14" s="25" t="inlineStr">
        <is>
          <t>Presencial</t>
        </is>
      </c>
      <c r="F14" s="25" t="inlineStr">
        <is>
          <t>Lead</t>
        </is>
      </c>
      <c r="G14" s="25" t="inlineStr">
        <is>
          <t>Baja</t>
        </is>
      </c>
      <c r="H14" s="25" t="inlineStr">
        <is>
          <t>No</t>
        </is>
      </c>
      <c r="I14" s="25" t="inlineStr">
        <is>
          <t>Solicitar a José Villanueva foto de tornillos y medida de fijaciones que necesita.</t>
        </is>
      </c>
      <c r="J14" s="38" t="n">
        <v>46315</v>
      </c>
      <c r="K14" s="25" t="inlineStr">
        <is>
          <t>Dueño</t>
        </is>
      </c>
      <c r="L14" s="25" t="inlineStr">
        <is>
          <t>Abierta</t>
        </is>
      </c>
      <c r="M14" s="25" t="str"/>
      <c r="N14" s="25" t="inlineStr">
        <is>
          <t>SIM · Historia comercial ficticia; no prueba venta, reserva, entrega ni pago.</t>
        </is>
      </c>
    </row>
    <row r="15" ht="15" customHeight="1">
      <c r="A15" s="25" t="inlineStr">
        <is>
          <t>OPP-SIM-011</t>
        </is>
      </c>
      <c r="B15" s="25" t="inlineStr">
        <is>
          <t>CLI-SIM-012</t>
        </is>
      </c>
      <c r="C15" s="25" t="inlineStr">
        <is>
          <t>CON-SIM-015</t>
        </is>
      </c>
      <c r="D15" s="25" t="inlineStr">
        <is>
          <t>200 bolsas de cemento y 120 barras para segundo piso en Ancón; cliente consulta crédito.</t>
        </is>
      </c>
      <c r="E15" s="25" t="inlineStr">
        <is>
          <t>Referido maestro</t>
        </is>
      </c>
      <c r="F15" s="25" t="inlineStr">
        <is>
          <t>Cerrada</t>
        </is>
      </c>
      <c r="G15" s="25" t="inlineStr">
        <is>
          <t>Alta</t>
        </is>
      </c>
      <c r="H15" s="25" t="inlineStr">
        <is>
          <t>Sí</t>
        </is>
      </c>
      <c r="I15" s="25" t="inlineStr">
        <is>
          <t>Cerrar como perdida; Edgar Espinoza no acepta pago al contado y no obtuvo crédito.</t>
        </is>
      </c>
      <c r="J15" s="38" t="n">
        <v>46313</v>
      </c>
      <c r="K15" s="25" t="inlineStr">
        <is>
          <t>Propietaria</t>
        </is>
      </c>
      <c r="L15" s="25" t="inlineStr">
        <is>
          <t>Perdida</t>
        </is>
      </c>
      <c r="M15" s="25" t="inlineStr">
        <is>
          <t>Cliente solicitó crédito para obra de Ancón; condición no autorizada.</t>
        </is>
      </c>
      <c r="N15" s="25" t="inlineStr">
        <is>
          <t>SIM · Historia comercial ficticia; no prueba venta, reserva, entrega ni pago.</t>
        </is>
      </c>
    </row>
    <row r="16" ht="15" customHeight="1">
      <c r="A16" s="25" t="inlineStr">
        <is>
          <t>OPP-SIM-012</t>
        </is>
      </c>
      <c r="B16" s="25" t="inlineStr">
        <is>
          <t>CLI-SIM-001</t>
        </is>
      </c>
      <c r="C16" s="25" t="inlineStr">
        <is>
          <t>CON-SIM-001</t>
        </is>
      </c>
      <c r="D16" s="25" t="inlineStr">
        <is>
          <t>Segunda etapa en Naranjal: Rosa Huamán solicita precio de cemento para vaciado de escalera.</t>
        </is>
      </c>
      <c r="E16" s="25" t="inlineStr">
        <is>
          <t>WhatsApp</t>
        </is>
      </c>
      <c r="F16" s="25" t="inlineStr">
        <is>
          <t>Oportunidad</t>
        </is>
      </c>
      <c r="G16" s="25" t="inlineStr">
        <is>
          <t>Media</t>
        </is>
      </c>
      <c r="H16" s="25" t="inlineStr">
        <is>
          <t>No</t>
        </is>
      </c>
      <c r="I16" s="25" t="inlineStr">
        <is>
          <t>Enviar a Rosa Huamán una propuesta separada cuando confirme bolsas para escalera.</t>
        </is>
      </c>
      <c r="J16" s="38" t="n">
        <v>46314</v>
      </c>
      <c r="K16" s="25" t="inlineStr">
        <is>
          <t>Propietaria</t>
        </is>
      </c>
      <c r="L16" s="25" t="inlineStr">
        <is>
          <t>Abierta</t>
        </is>
      </c>
      <c r="M16" s="25" t="str"/>
      <c r="N16" s="25" t="inlineStr">
        <is>
          <t>SIM · Historia comercial ficticia; no prueba venta, reserva, entrega ni pago.</t>
        </is>
      </c>
    </row>
    <row r="17" ht="15" customHeight="1">
      <c r="A17" s="25" t="inlineStr">
        <is>
          <t>OPP-SIM-013</t>
        </is>
      </c>
      <c r="B17" s="25" t="inlineStr">
        <is>
          <t>CLI-SIM-003</t>
        </is>
      </c>
      <c r="C17" s="25" t="inlineStr">
        <is>
          <t>CON-SIM-006</t>
        </is>
      </c>
      <c r="D17" s="25" t="inlineStr">
        <is>
          <t>100 bolsas de cemento y 5 m3 de arena para vivienda en Pro; compara flete de agregados.</t>
        </is>
      </c>
      <c r="E17" s="25" t="inlineStr">
        <is>
          <t>Teléfono</t>
        </is>
      </c>
      <c r="F17" s="25" t="inlineStr">
        <is>
          <t>Cerrada</t>
        </is>
      </c>
      <c r="G17" s="25" t="inlineStr">
        <is>
          <t>Alta</t>
        </is>
      </c>
      <c r="H17" s="25" t="inlineStr">
        <is>
          <t>Sí</t>
        </is>
      </c>
      <c r="I17" s="25" t="inlineStr">
        <is>
          <t>Registrar cierre parcial: Patricia Quispe acepta cemento y compra arena cerca de su obra.</t>
        </is>
      </c>
      <c r="J17" s="38" t="n">
        <v>46312</v>
      </c>
      <c r="K17" s="25" t="inlineStr">
        <is>
          <t>Dueño</t>
        </is>
      </c>
      <c r="L17" s="25" t="inlineStr">
        <is>
          <t>Ganada parcial</t>
        </is>
      </c>
      <c r="M17" s="25" t="inlineStr">
        <is>
          <t>Arena comprada cerca de la obra por costo de flete; cemento adjudicado.</t>
        </is>
      </c>
      <c r="N17" s="25" t="inlineStr">
        <is>
          <t>SIM · Historia comercial ficticia; no prueba venta, reserva, entrega ni pago.</t>
        </is>
      </c>
    </row>
    <row r="18" ht="15" customHeight="1">
      <c r="A18" s="25" t="inlineStr">
        <is>
          <t>OPP-SIM-014</t>
        </is>
      </c>
      <c r="B18" s="25" t="inlineStr">
        <is>
          <t>CLI-SIM-006</t>
        </is>
      </c>
      <c r="C18" s="25" t="inlineStr">
        <is>
          <t>CON-SIM-009</t>
        </is>
      </c>
      <c r="D18" s="25" t="inlineStr">
        <is>
          <t>Guantes talla L y herramientas para cuadrilla de Ladera Norte; Mariela enviará lista definitiva.</t>
        </is>
      </c>
      <c r="E18" s="25" t="inlineStr">
        <is>
          <t>WhatsApp</t>
        </is>
      </c>
      <c r="F18" s="25" t="inlineStr">
        <is>
          <t>Calificada</t>
        </is>
      </c>
      <c r="G18" s="25" t="inlineStr">
        <is>
          <t>Media</t>
        </is>
      </c>
      <c r="H18" s="25" t="inlineStr">
        <is>
          <t>No</t>
        </is>
      </c>
      <c r="I18" s="25" t="inlineStr">
        <is>
          <t>Pedir a Mariela Córdova cantidad de operarios y herramientas faltantes.</t>
        </is>
      </c>
      <c r="J18" s="38" t="n">
        <v>46314</v>
      </c>
      <c r="K18" s="25" t="inlineStr">
        <is>
          <t>Propietaria</t>
        </is>
      </c>
      <c r="L18" s="25" t="inlineStr">
        <is>
          <t>Abierta</t>
        </is>
      </c>
      <c r="M18" s="25" t="str"/>
      <c r="N18" s="25" t="inlineStr">
        <is>
          <t>SIM · Historia comercial ficticia; no prueba venta, reserva, entrega ni pago.</t>
        </is>
      </c>
    </row>
    <row r="19" ht="15" customHeight="1">
      <c r="A19" s="25" t="inlineStr">
        <is>
          <t>OPP-SIM-015</t>
        </is>
      </c>
      <c r="B19" s="25" t="inlineStr">
        <is>
          <t>CLI-SIM-009</t>
        </is>
      </c>
      <c r="C19" s="25" t="inlineStr">
        <is>
          <t>CON-SIM-011</t>
        </is>
      </c>
      <c r="D19" s="25" t="inlineStr">
        <is>
          <t>3 rollos de cable TW y 20 tomacorrientes para instalación eléctrica de vivienda en Carabayllo.</t>
        </is>
      </c>
      <c r="E19" s="25" t="inlineStr">
        <is>
          <t>WhatsApp</t>
        </is>
      </c>
      <c r="F19" s="25" t="inlineStr">
        <is>
          <t>Cerrada</t>
        </is>
      </c>
      <c r="G19" s="25" t="inlineStr">
        <is>
          <t>Media</t>
        </is>
      </c>
      <c r="H19" s="25" t="inlineStr">
        <is>
          <t>Sí</t>
        </is>
      </c>
      <c r="I19" s="25" t="inlineStr">
        <is>
          <t>Cerrar por falta de respuesta de Ana Torres tras seguimiento de la propuesta eléctrica.</t>
        </is>
      </c>
      <c r="J19" s="38" t="n">
        <v>46314</v>
      </c>
      <c r="K19" s="25" t="inlineStr">
        <is>
          <t>Propietaria</t>
        </is>
      </c>
      <c r="L19" s="25" t="inlineStr">
        <is>
          <t>Perdida</t>
        </is>
      </c>
      <c r="M19" s="25" t="inlineStr">
        <is>
          <t>Sin respuesta al seguimiento de cable y tomacorrientes.</t>
        </is>
      </c>
      <c r="N19" s="25" t="inlineStr">
        <is>
          <t>SIM · Historia comercial ficticia; no prueba venta, reserva, entrega ni pago.</t>
        </is>
      </c>
    </row>
    <row r="20">
      <c r="J20" s="39" t="n"/>
    </row>
    <row r="21">
      <c r="J21" s="39" t="n"/>
    </row>
    <row r="22">
      <c r="J22" s="39" t="n"/>
    </row>
    <row r="23">
      <c r="J23" s="39" t="n"/>
    </row>
    <row r="24">
      <c r="J24" s="39" t="n"/>
    </row>
    <row r="25">
      <c r="J25" s="39" t="n"/>
    </row>
    <row r="26">
      <c r="J26" s="39" t="n"/>
    </row>
    <row r="27">
      <c r="J27" s="39" t="n"/>
    </row>
    <row r="28">
      <c r="J28" s="39" t="n"/>
    </row>
    <row r="29">
      <c r="J29" s="39" t="n"/>
    </row>
    <row r="30">
      <c r="J30" s="39" t="n"/>
    </row>
    <row r="31">
      <c r="J31" s="39" t="n"/>
    </row>
    <row r="32">
      <c r="J32" s="39" t="n"/>
    </row>
    <row r="33">
      <c r="J33" s="39" t="n"/>
    </row>
    <row r="34">
      <c r="J34" s="39" t="n"/>
    </row>
    <row r="35">
      <c r="J35" s="39" t="n"/>
    </row>
    <row r="36">
      <c r="J36" s="39" t="n"/>
    </row>
    <row r="37">
      <c r="J37" s="39" t="n"/>
    </row>
    <row r="38">
      <c r="J38" s="39" t="n"/>
    </row>
    <row r="39">
      <c r="J39" s="39" t="n"/>
    </row>
    <row r="40">
      <c r="J40" s="39" t="n"/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18" customWidth="1" min="4" max="4"/>
    <col width="16" customWidth="1" min="5" max="5"/>
    <col width="16" customWidth="1" min="6" max="6"/>
    <col width="25" customWidth="1" min="7" max="7"/>
    <col width="56" customWidth="1" min="8" max="8"/>
    <col width="26" customWidth="1" min="9" max="9"/>
    <col width="24" customWidth="1" min="10" max="10"/>
    <col width="30" customWidth="1" min="11" max="11"/>
    <col width="83" customWidth="1" min="12" max="12"/>
  </cols>
  <sheetData>
    <row r="1" ht="24" customHeight="1">
      <c r="A1" s="7" t="inlineStr">
        <is>
          <t>Cotizaciones y versiones sintéticas</t>
        </is>
      </c>
      <c r="B1" s="1" t="n"/>
      <c r="C1" s="1" t="n"/>
      <c r="D1" s="1" t="n"/>
      <c r="E1" s="1" t="n"/>
      <c r="F1" s="1" t="n"/>
      <c r="G1" s="1" t="n"/>
      <c r="H1" s="1" t="n"/>
    </row>
    <row r="2"/>
    <row r="3"/>
    <row r="4">
      <c r="A4" s="18" t="inlineStr">
        <is>
          <t>id_cotizacion</t>
        </is>
      </c>
      <c r="B4" s="18" t="inlineStr">
        <is>
          <t>numero_cotizacion</t>
        </is>
      </c>
      <c r="C4" s="18" t="inlineStr">
        <is>
          <t>version</t>
        </is>
      </c>
      <c r="D4" s="18" t="inlineStr">
        <is>
          <t>id_oportunidad</t>
        </is>
      </c>
      <c r="E4" s="18" t="inlineStr">
        <is>
          <t>id_direccion</t>
        </is>
      </c>
      <c r="F4" s="18" t="inlineStr">
        <is>
          <t>fecha_emision</t>
        </is>
      </c>
      <c r="G4" s="18" t="inlineStr">
        <is>
          <t>estado</t>
        </is>
      </c>
      <c r="H4" s="18" t="inlineStr">
        <is>
          <t>criterio_vigencia</t>
        </is>
      </c>
      <c r="I4" s="18" t="inlineStr">
        <is>
          <t>tipo_comprobante_previsto</t>
        </is>
      </c>
      <c r="J4" s="18" t="inlineStr">
        <is>
          <t>autorizador_excepcion</t>
        </is>
      </c>
      <c r="K4" s="18" t="inlineStr">
        <is>
          <t>motivo_excepcion</t>
        </is>
      </c>
      <c r="L4" s="18" t="inlineStr">
        <is>
          <t>nota</t>
        </is>
      </c>
    </row>
    <row r="5" ht="15" customHeight="1">
      <c r="A5" s="25" t="inlineStr">
        <is>
          <t>COT-SIM-001-V01</t>
        </is>
      </c>
      <c r="B5" s="25" t="inlineStr">
        <is>
          <t>COT-SIM-001</t>
        </is>
      </c>
      <c r="C5" s="25" t="n">
        <v>1</v>
      </c>
      <c r="D5" s="25" t="inlineStr">
        <is>
          <t>OPP-SIM-001</t>
        </is>
      </c>
      <c r="E5" s="25" t="inlineStr">
        <is>
          <t>DIR-SIM-001</t>
        </is>
      </c>
      <c r="F5" s="38" t="n">
        <v>46311</v>
      </c>
      <c r="G5" s="25" t="inlineStr">
        <is>
          <t>En revisión</t>
        </is>
      </c>
      <c r="H5" s="25" t="inlineStr">
        <is>
          <t>Sujeta a actualización antes del pago si cambian costos</t>
        </is>
      </c>
      <c r="I5" s="25" t="inlineStr">
        <is>
          <t>Por definir</t>
        </is>
      </c>
      <c r="J5" s="25" t="str"/>
      <c r="K5" s="25" t="str"/>
      <c r="L5" s="25" t="inlineStr">
        <is>
          <t>SIM · Vivienda Huamán, Naranjal. Rosa revisa la lista con el maestro Luis Salcedo.</t>
        </is>
      </c>
    </row>
    <row r="6" ht="15" customHeight="1">
      <c r="A6" s="25" t="inlineStr">
        <is>
          <t>COT-SIM-002-V01</t>
        </is>
      </c>
      <c r="B6" s="25" t="inlineStr">
        <is>
          <t>COT-SIM-002</t>
        </is>
      </c>
      <c r="C6" s="25" t="n">
        <v>1</v>
      </c>
      <c r="D6" s="25" t="inlineStr">
        <is>
          <t>OPP-SIM-002</t>
        </is>
      </c>
      <c r="E6" s="25" t="inlineStr">
        <is>
          <t>DIR-SIM-002</t>
        </is>
      </c>
      <c r="F6" s="38" t="n">
        <v>46311</v>
      </c>
      <c r="G6" s="25" t="inlineStr">
        <is>
          <t>Revisada</t>
        </is>
      </c>
      <c r="H6" s="25" t="inlineStr">
        <is>
          <t>Sujeta a actualización antes del pago si cambian costos</t>
        </is>
      </c>
      <c r="I6" s="25" t="inlineStr">
        <is>
          <t>Por definir</t>
        </is>
      </c>
      <c r="J6" s="25" t="str"/>
      <c r="K6" s="25" t="str"/>
      <c r="L6" s="25" t="inlineStr">
        <is>
          <t>SIM · Vivienda Rojas, San Diego. Oferta inicial sustituida por revisión de precio.</t>
        </is>
      </c>
    </row>
    <row r="7" ht="15" customHeight="1">
      <c r="A7" s="25" t="inlineStr">
        <is>
          <t>COT-SIM-002-V02</t>
        </is>
      </c>
      <c r="B7" s="25" t="inlineStr">
        <is>
          <t>COT-SIM-002</t>
        </is>
      </c>
      <c r="C7" s="25" t="n">
        <v>2</v>
      </c>
      <c r="D7" s="25" t="inlineStr">
        <is>
          <t>OPP-SIM-002</t>
        </is>
      </c>
      <c r="E7" s="25" t="inlineStr">
        <is>
          <t>DIR-SIM-002</t>
        </is>
      </c>
      <c r="F7" s="38" t="n">
        <v>46311</v>
      </c>
      <c r="G7" s="25" t="inlineStr">
        <is>
          <t>Aceptada parcialmente</t>
        </is>
      </c>
      <c r="H7" s="25" t="inlineStr">
        <is>
          <t>Sujeta a actualización antes del pago si cambian costos</t>
        </is>
      </c>
      <c r="I7" s="25" t="inlineStr">
        <is>
          <t>Por definir</t>
        </is>
      </c>
      <c r="J7" s="25" t="inlineStr">
        <is>
          <t>Dueño</t>
        </is>
      </c>
      <c r="K7" s="25" t="inlineStr">
        <is>
          <t>Competencia</t>
        </is>
      </c>
      <c r="L7" s="25" t="inlineStr">
        <is>
          <t>SIM · Julio acepta cemento; fierro no adjudicado pese al ajuste a S/ 40.10.</t>
        </is>
      </c>
    </row>
    <row r="8" ht="15" customHeight="1">
      <c r="A8" s="25" t="inlineStr">
        <is>
          <t>COT-SIM-004-V01</t>
        </is>
      </c>
      <c r="B8" s="25" t="inlineStr">
        <is>
          <t>COT-SIM-004</t>
        </is>
      </c>
      <c r="C8" s="25" t="n">
        <v>1</v>
      </c>
      <c r="D8" s="25" t="inlineStr">
        <is>
          <t>OPP-SIM-004</t>
        </is>
      </c>
      <c r="E8" s="25" t="inlineStr">
        <is>
          <t>DIR-SIM-009</t>
        </is>
      </c>
      <c r="F8" s="38" t="n">
        <v>46311</v>
      </c>
      <c r="G8" s="25" t="inlineStr">
        <is>
          <t>Aceptada</t>
        </is>
      </c>
      <c r="H8" s="25" t="inlineStr">
        <is>
          <t>Sujeta a actualización antes del pago si cambian costos</t>
        </is>
      </c>
      <c r="I8" s="25" t="inlineStr">
        <is>
          <t>Boleta</t>
        </is>
      </c>
      <c r="J8" s="25" t="str"/>
      <c r="K8" s="25" t="str"/>
      <c r="L8" s="25" t="inlineStr">
        <is>
          <t>SIM · Carmen acepta materiales para reparación; retiro en mostrador.</t>
        </is>
      </c>
    </row>
    <row r="9" ht="15" customHeight="1">
      <c r="A9" s="25" t="inlineStr">
        <is>
          <t>COT-SIM-005-V01</t>
        </is>
      </c>
      <c r="B9" s="25" t="inlineStr">
        <is>
          <t>COT-SIM-005</t>
        </is>
      </c>
      <c r="C9" s="25" t="n">
        <v>1</v>
      </c>
      <c r="D9" s="25" t="inlineStr">
        <is>
          <t>OPP-SIM-005</t>
        </is>
      </c>
      <c r="E9" s="25" t="inlineStr">
        <is>
          <t>DIR-SIM-010</t>
        </is>
      </c>
      <c r="F9" s="38" t="n">
        <v>46311</v>
      </c>
      <c r="G9" s="25" t="inlineStr">
        <is>
          <t>No aceptada</t>
        </is>
      </c>
      <c r="H9" s="25" t="inlineStr">
        <is>
          <t>Sujeta a actualización antes del pago si cambian costos</t>
        </is>
      </c>
      <c r="I9" s="25" t="inlineStr">
        <is>
          <t>Boleta</t>
        </is>
      </c>
      <c r="J9" s="25" t="str"/>
      <c r="K9" s="25" t="str"/>
      <c r="L9" s="25" t="inlineStr">
        <is>
          <t>SIM · Luis Mendoza rechaza la oferta por una alternativa más económica.</t>
        </is>
      </c>
    </row>
    <row r="10" ht="15" customHeight="1">
      <c r="A10" s="25" t="inlineStr">
        <is>
          <t>COT-SIM-006-V01</t>
        </is>
      </c>
      <c r="B10" s="25" t="inlineStr">
        <is>
          <t>COT-SIM-006</t>
        </is>
      </c>
      <c r="C10" s="25" t="n">
        <v>1</v>
      </c>
      <c r="D10" s="25" t="inlineStr">
        <is>
          <t>OPP-SIM-006</t>
        </is>
      </c>
      <c r="E10" s="25" t="inlineStr">
        <is>
          <t>DIR-SIM-004</t>
        </is>
      </c>
      <c r="F10" s="38" t="n">
        <v>46311</v>
      </c>
      <c r="G10" s="25" t="inlineStr">
        <is>
          <t>Aceptada</t>
        </is>
      </c>
      <c r="H10" s="25" t="inlineStr">
        <is>
          <t>Sujeta a actualización antes del pago si cambian costos</t>
        </is>
      </c>
      <c r="I10" s="25" t="inlineStr">
        <is>
          <t>Factura</t>
        </is>
      </c>
      <c r="J10" s="25" t="str"/>
      <c r="K10" s="25" t="str"/>
      <c r="L10" s="25" t="inlineStr">
        <is>
          <t>SIM · Ladera Norte solicita factura; aceptación comercial, sin ejecución operativa.</t>
        </is>
      </c>
    </row>
    <row r="11" ht="15" customHeight="1">
      <c r="A11" s="25" t="inlineStr">
        <is>
          <t>COT-SIM-007-V01</t>
        </is>
      </c>
      <c r="B11" s="25" t="inlineStr">
        <is>
          <t>COT-SIM-007</t>
        </is>
      </c>
      <c r="C11" s="25" t="n">
        <v>1</v>
      </c>
      <c r="D11" s="25" t="inlineStr">
        <is>
          <t>OPP-SIM-007</t>
        </is>
      </c>
      <c r="E11" s="25" t="inlineStr">
        <is>
          <t>DIR-SIM-005</t>
        </is>
      </c>
      <c r="F11" s="38" t="n">
        <v>46311</v>
      </c>
      <c r="G11" s="25" t="inlineStr">
        <is>
          <t>En revisión</t>
        </is>
      </c>
      <c r="H11" s="25" t="inlineStr">
        <is>
          <t>Sujeta a actualización antes del pago si cambian costos</t>
        </is>
      </c>
      <c r="I11" s="25" t="inlineStr">
        <is>
          <t>Por definir</t>
        </is>
      </c>
      <c r="J11" s="25" t="str"/>
      <c r="K11" s="25" t="str"/>
      <c r="L11" s="25" t="inlineStr">
        <is>
          <t>SIM · Obra Cárdenas, Puente Piedra. Ladrillo y acceso a descarga por confirmar.</t>
        </is>
      </c>
    </row>
    <row r="12" ht="15" customHeight="1">
      <c r="A12" s="25" t="inlineStr">
        <is>
          <t>COT-SIM-008-V01</t>
        </is>
      </c>
      <c r="B12" s="25" t="inlineStr">
        <is>
          <t>COT-SIM-008</t>
        </is>
      </c>
      <c r="C12" s="25" t="n">
        <v>1</v>
      </c>
      <c r="D12" s="25" t="inlineStr">
        <is>
          <t>OPP-SIM-008</t>
        </is>
      </c>
      <c r="E12" s="25" t="inlineStr">
        <is>
          <t>DIR-SIM-006</t>
        </is>
      </c>
      <c r="F12" s="38" t="n">
        <v>46311</v>
      </c>
      <c r="G12" s="25" t="inlineStr">
        <is>
          <t>Revisada</t>
        </is>
      </c>
      <c r="H12" s="25" t="inlineStr">
        <is>
          <t>Sujeta a actualización antes del pago si cambian costos</t>
        </is>
      </c>
      <c r="I12" s="25" t="inlineStr">
        <is>
          <t>Por definir</t>
        </is>
      </c>
      <c r="J12" s="25" t="str"/>
      <c r="K12" s="25" t="str"/>
      <c r="L12" s="25" t="inlineStr">
        <is>
          <t>SIM · Vivienda Torres, Carabayllo. Primera oferta, antes de negociar volumen.</t>
        </is>
      </c>
    </row>
    <row r="13" ht="15" customHeight="1">
      <c r="A13" s="25" t="inlineStr">
        <is>
          <t>COT-SIM-008-V02</t>
        </is>
      </c>
      <c r="B13" s="25" t="inlineStr">
        <is>
          <t>COT-SIM-008</t>
        </is>
      </c>
      <c r="C13" s="25" t="n">
        <v>2</v>
      </c>
      <c r="D13" s="25" t="inlineStr">
        <is>
          <t>OPP-SIM-008</t>
        </is>
      </c>
      <c r="E13" s="25" t="inlineStr">
        <is>
          <t>DIR-SIM-006</t>
        </is>
      </c>
      <c r="F13" s="38" t="n">
        <v>46311</v>
      </c>
      <c r="G13" s="25" t="inlineStr">
        <is>
          <t>Aceptada parcialmente</t>
        </is>
      </c>
      <c r="H13" s="25" t="inlineStr">
        <is>
          <t>Sujeta a actualización antes del pago si cambian costos</t>
        </is>
      </c>
      <c r="I13" s="25" t="inlineStr">
        <is>
          <t>Por definir</t>
        </is>
      </c>
      <c r="J13" s="25" t="inlineStr">
        <is>
          <t>Propietaria</t>
        </is>
      </c>
      <c r="K13" s="25" t="inlineStr">
        <is>
          <t>Volumen</t>
        </is>
      </c>
      <c r="L13" s="25" t="inlineStr">
        <is>
          <t>SIM · Ana acepta cemento a S/ 30.80; fierro no adjudicado.</t>
        </is>
      </c>
    </row>
    <row r="14" ht="15" customHeight="1">
      <c r="A14" s="25" t="inlineStr">
        <is>
          <t>COT-SIM-009-V01</t>
        </is>
      </c>
      <c r="B14" s="25" t="inlineStr">
        <is>
          <t>COT-SIM-009</t>
        </is>
      </c>
      <c r="C14" s="25" t="n">
        <v>1</v>
      </c>
      <c r="D14" s="25" t="inlineStr">
        <is>
          <t>OPP-SIM-009</t>
        </is>
      </c>
      <c r="E14" s="25" t="inlineStr">
        <is>
          <t>DIR-SIM-007</t>
        </is>
      </c>
      <c r="F14" s="38" t="n">
        <v>46311</v>
      </c>
      <c r="G14" s="25" t="inlineStr">
        <is>
          <t>Aceptada</t>
        </is>
      </c>
      <c r="H14" s="25" t="inlineStr">
        <is>
          <t>Sujeta a actualización antes del pago si cambian costos</t>
        </is>
      </c>
      <c r="I14" s="25" t="inlineStr">
        <is>
          <t>Factura</t>
        </is>
      </c>
      <c r="J14" s="25" t="str"/>
      <c r="K14" s="25" t="str"/>
      <c r="L14" s="25" t="inlineStr">
        <is>
          <t>SIM · Valle Claro acepta tanque y tubería; factura prevista, sin emisión fiscal.</t>
        </is>
      </c>
    </row>
    <row r="15" ht="15" customHeight="1">
      <c r="A15" s="25" t="inlineStr">
        <is>
          <t>COT-SIM-011-V01</t>
        </is>
      </c>
      <c r="B15" s="25" t="inlineStr">
        <is>
          <t>COT-SIM-011</t>
        </is>
      </c>
      <c r="C15" s="25" t="n">
        <v>1</v>
      </c>
      <c r="D15" s="25" t="inlineStr">
        <is>
          <t>OPP-SIM-011</t>
        </is>
      </c>
      <c r="E15" s="25" t="inlineStr">
        <is>
          <t>DIR-SIM-008</t>
        </is>
      </c>
      <c r="F15" s="38" t="n">
        <v>46311</v>
      </c>
      <c r="G15" s="25" t="inlineStr">
        <is>
          <t>No aceptada</t>
        </is>
      </c>
      <c r="H15" s="25" t="inlineStr">
        <is>
          <t>Sujeta a actualización antes del pago si cambian costos</t>
        </is>
      </c>
      <c r="I15" s="25" t="inlineStr">
        <is>
          <t>Por definir</t>
        </is>
      </c>
      <c r="J15" s="25" t="str"/>
      <c r="K15" s="25" t="inlineStr">
        <is>
          <t>Crédito no concedido</t>
        </is>
      </c>
      <c r="L15" s="25" t="inlineStr">
        <is>
          <t>SIM · Vivienda Espinoza, Ancón. No aceptada por condición de crédito.</t>
        </is>
      </c>
    </row>
    <row r="16" ht="15" customHeight="1">
      <c r="A16" s="25" t="inlineStr">
        <is>
          <t>COT-SIM-013-V01</t>
        </is>
      </c>
      <c r="B16" s="25" t="inlineStr">
        <is>
          <t>COT-SIM-013</t>
        </is>
      </c>
      <c r="C16" s="25" t="n">
        <v>1</v>
      </c>
      <c r="D16" s="25" t="inlineStr">
        <is>
          <t>OPP-SIM-013</t>
        </is>
      </c>
      <c r="E16" s="25" t="inlineStr">
        <is>
          <t>DIR-SIM-003</t>
        </is>
      </c>
      <c r="F16" s="38" t="n">
        <v>46311</v>
      </c>
      <c r="G16" s="25" t="inlineStr">
        <is>
          <t>Revisada</t>
        </is>
      </c>
      <c r="H16" s="25" t="inlineStr">
        <is>
          <t>Sujeta a actualización antes del pago si cambian costos</t>
        </is>
      </c>
      <c r="I16" s="25" t="inlineStr">
        <is>
          <t>Por definir</t>
        </is>
      </c>
      <c r="J16" s="25" t="str"/>
      <c r="K16" s="25" t="str"/>
      <c r="L16" s="25" t="inlineStr">
        <is>
          <t>SIM · Vivienda Quispe, Pro. Primera propuesta de cemento y arena.</t>
        </is>
      </c>
    </row>
    <row r="17" ht="15" customHeight="1">
      <c r="A17" s="25" t="inlineStr">
        <is>
          <t>COT-SIM-013-V02</t>
        </is>
      </c>
      <c r="B17" s="25" t="inlineStr">
        <is>
          <t>COT-SIM-013</t>
        </is>
      </c>
      <c r="C17" s="25" t="n">
        <v>2</v>
      </c>
      <c r="D17" s="25" t="inlineStr">
        <is>
          <t>OPP-SIM-013</t>
        </is>
      </c>
      <c r="E17" s="25" t="inlineStr">
        <is>
          <t>DIR-SIM-003</t>
        </is>
      </c>
      <c r="F17" s="38" t="n">
        <v>46311</v>
      </c>
      <c r="G17" s="25" t="inlineStr">
        <is>
          <t>Aceptada parcialmente</t>
        </is>
      </c>
      <c r="H17" s="25" t="inlineStr">
        <is>
          <t>Sujeta a actualización antes del pago si cambian costos</t>
        </is>
      </c>
      <c r="I17" s="25" t="inlineStr">
        <is>
          <t>Por definir</t>
        </is>
      </c>
      <c r="J17" s="25" t="inlineStr">
        <is>
          <t>Dueño</t>
        </is>
      </c>
      <c r="K17" s="25" t="inlineStr">
        <is>
          <t>Condición de entrega</t>
        </is>
      </c>
      <c r="L17" s="25" t="inlineStr">
        <is>
          <t>SIM · Patricia acepta cemento a S/ 30.90 y compra arena cerca por flete.</t>
        </is>
      </c>
    </row>
    <row r="18" ht="15" customHeight="1">
      <c r="A18" s="25" t="inlineStr">
        <is>
          <t>COT-SIM-015-V01</t>
        </is>
      </c>
      <c r="B18" s="25" t="inlineStr">
        <is>
          <t>COT-SIM-015</t>
        </is>
      </c>
      <c r="C18" s="25" t="n">
        <v>1</v>
      </c>
      <c r="D18" s="25" t="inlineStr">
        <is>
          <t>OPP-SIM-015</t>
        </is>
      </c>
      <c r="E18" s="25" t="inlineStr">
        <is>
          <t>DIR-SIM-006</t>
        </is>
      </c>
      <c r="F18" s="38" t="n">
        <v>46311</v>
      </c>
      <c r="G18" s="25" t="inlineStr">
        <is>
          <t>No aceptada</t>
        </is>
      </c>
      <c r="H18" s="25" t="inlineStr">
        <is>
          <t>Sujeta a actualización antes del pago si cambian costos</t>
        </is>
      </c>
      <c r="I18" s="25" t="inlineStr">
        <is>
          <t>Por definir</t>
        </is>
      </c>
      <c r="J18" s="25" t="str"/>
      <c r="K18" s="25" t="str"/>
      <c r="L18" s="25" t="inlineStr">
        <is>
          <t>SIM · Instalación Torres, Carabayllo. No aceptada por ausencia de respuesta.</t>
        </is>
      </c>
    </row>
    <row r="19">
      <c r="F19" s="39" t="n"/>
    </row>
    <row r="20">
      <c r="F20" s="39" t="n"/>
    </row>
    <row r="21">
      <c r="F21" s="39" t="n"/>
    </row>
    <row r="22">
      <c r="F22" s="39" t="n"/>
    </row>
    <row r="23">
      <c r="F23" s="39" t="n"/>
    </row>
    <row r="24">
      <c r="F24" s="39" t="n"/>
    </row>
    <row r="25">
      <c r="F25" s="39" t="n"/>
    </row>
    <row r="26">
      <c r="F26" s="39" t="n"/>
    </row>
    <row r="27">
      <c r="F27" s="39" t="n"/>
    </row>
    <row r="28">
      <c r="F28" s="39" t="n"/>
    </row>
    <row r="29">
      <c r="F29" s="39" t="n"/>
    </row>
    <row r="30">
      <c r="F30" s="39" t="n"/>
    </row>
    <row r="31">
      <c r="F31" s="39" t="n"/>
    </row>
    <row r="32">
      <c r="F32" s="39" t="n"/>
    </row>
    <row r="33">
      <c r="F33" s="39" t="n"/>
    </row>
    <row r="34">
      <c r="F34" s="39" t="n"/>
    </row>
    <row r="35">
      <c r="F35" s="39" t="n"/>
    </row>
    <row r="36">
      <c r="F36" s="39" t="n"/>
    </row>
    <row r="37">
      <c r="F37" s="39" t="n"/>
    </row>
    <row r="38">
      <c r="F38" s="39" t="n"/>
    </row>
    <row r="39">
      <c r="F39" s="39" t="n"/>
    </row>
    <row r="40">
      <c r="F40" s="39" t="n"/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2" customWidth="1" min="10" max="10"/>
    <col width="20" customWidth="1" min="11" max="11"/>
    <col width="20" customWidth="1" min="12" max="12"/>
    <col width="75" customWidth="1" min="13" max="13"/>
  </cols>
  <sheetData>
    <row r="1" ht="24" customHeight="1">
      <c r="A1" s="7" t="inlineStr">
        <is>
          <t>Detalle de cotizaciones sintéticas</t>
        </is>
      </c>
      <c r="B1" s="1" t="n"/>
      <c r="C1" s="1" t="n"/>
      <c r="D1" s="1" t="n"/>
      <c r="E1" s="1" t="n"/>
      <c r="F1" s="1" t="n"/>
      <c r="G1" s="1" t="n"/>
      <c r="H1" s="1" t="n"/>
    </row>
    <row r="2" ht="30" customHeight="1">
      <c r="A2" s="13" t="inlineStr">
        <is>
          <t>Los precios son completamente simulados y no deben utilizarse como lista real de MIGAL.</t>
        </is>
      </c>
      <c r="B2" s="1" t="n"/>
      <c r="C2" s="1" t="n"/>
      <c r="D2" s="1" t="n"/>
      <c r="E2" s="1" t="n"/>
      <c r="F2" s="1" t="n"/>
      <c r="G2" s="1" t="n"/>
      <c r="H2" s="1" t="n"/>
    </row>
    <row r="3"/>
    <row r="4">
      <c r="A4" s="18" t="inlineStr">
        <is>
          <t>id_cotizacion</t>
        </is>
      </c>
      <c r="B4" s="18" t="inlineStr">
        <is>
          <t>linea</t>
        </is>
      </c>
      <c r="C4" s="18" t="inlineStr">
        <is>
          <t>id_producto</t>
        </is>
      </c>
      <c r="D4" s="18" t="inlineStr">
        <is>
          <t>cantidad</t>
        </is>
      </c>
      <c r="E4" s="18" t="inlineStr">
        <is>
          <t>precio_referencia</t>
        </is>
      </c>
      <c r="F4" s="18" t="inlineStr">
        <is>
          <t>precio_ofrecido</t>
        </is>
      </c>
      <c r="G4" s="18" t="inlineStr">
        <is>
          <t>total_referencia</t>
        </is>
      </c>
      <c r="H4" s="18" t="inlineStr">
        <is>
          <t>total_ofrecido</t>
        </is>
      </c>
      <c r="I4" s="18" t="inlineStr">
        <is>
          <t>beneficio_cliente</t>
        </is>
      </c>
      <c r="J4" s="18" t="inlineStr">
        <is>
          <t>motivo_ajuste</t>
        </is>
      </c>
      <c r="K4" s="18" t="inlineStr">
        <is>
          <t>autorizado_por</t>
        </is>
      </c>
      <c r="L4" s="18" t="inlineStr">
        <is>
          <t>resultado_linea</t>
        </is>
      </c>
      <c r="M4" s="18" t="inlineStr">
        <is>
          <t>nota</t>
        </is>
      </c>
    </row>
    <row r="5" ht="15" customHeight="1">
      <c r="A5" s="25" t="inlineStr">
        <is>
          <t>COT-SIM-001-V01</t>
        </is>
      </c>
      <c r="B5" s="25" t="n">
        <v>1</v>
      </c>
      <c r="C5" s="25" t="inlineStr">
        <is>
          <t>PRD-SIM-001</t>
        </is>
      </c>
      <c r="D5" s="25" t="n">
        <v>100</v>
      </c>
      <c r="E5" s="40" t="n">
        <v>31</v>
      </c>
      <c r="F5" s="40" t="n">
        <v>31</v>
      </c>
      <c r="G5" s="40">
        <f>D5*E5</f>
        <v/>
      </c>
      <c r="H5" s="40">
        <f>D5*F5</f>
        <v/>
      </c>
      <c r="I5" s="40">
        <f>G5-H5</f>
        <v/>
      </c>
      <c r="J5" s="25" t="str"/>
      <c r="K5" s="25" t="str"/>
      <c r="L5" s="25" t="inlineStr">
        <is>
          <t>Pendiente</t>
        </is>
      </c>
      <c r="M5" s="25" t="inlineStr">
        <is>
          <t>SIM · Precio y desenlace ficticios; importe de líneas, no total fiscal.</t>
        </is>
      </c>
    </row>
    <row r="6" ht="15" customHeight="1">
      <c r="A6" s="25" t="inlineStr">
        <is>
          <t>COT-SIM-001-V01</t>
        </is>
      </c>
      <c r="B6" s="25" t="n">
        <v>2</v>
      </c>
      <c r="C6" s="25" t="inlineStr">
        <is>
          <t>PRD-SIM-002</t>
        </is>
      </c>
      <c r="D6" s="25" t="n">
        <v>40</v>
      </c>
      <c r="E6" s="40" t="n">
        <v>40.5</v>
      </c>
      <c r="F6" s="40" t="n">
        <v>40.5</v>
      </c>
      <c r="G6" s="40">
        <f>D6*E6</f>
        <v/>
      </c>
      <c r="H6" s="40">
        <f>D6*F6</f>
        <v/>
      </c>
      <c r="I6" s="40">
        <f>G6-H6</f>
        <v/>
      </c>
      <c r="J6" s="25" t="str"/>
      <c r="K6" s="25" t="str"/>
      <c r="L6" s="25" t="inlineStr">
        <is>
          <t>Pendiente</t>
        </is>
      </c>
      <c r="M6" s="25" t="inlineStr">
        <is>
          <t>SIM · Precio y desenlace ficticios; importe de líneas, no total fiscal.</t>
        </is>
      </c>
    </row>
    <row r="7" ht="15" customHeight="1">
      <c r="A7" s="25" t="inlineStr">
        <is>
          <t>COT-SIM-001-V01</t>
        </is>
      </c>
      <c r="B7" s="25" t="n">
        <v>3</v>
      </c>
      <c r="C7" s="25" t="inlineStr">
        <is>
          <t>PRD-SIM-003</t>
        </is>
      </c>
      <c r="D7" s="25" t="n">
        <v>20</v>
      </c>
      <c r="E7" s="40" t="n">
        <v>20</v>
      </c>
      <c r="F7" s="40" t="n">
        <v>20</v>
      </c>
      <c r="G7" s="40">
        <f>D7*E7</f>
        <v/>
      </c>
      <c r="H7" s="40">
        <f>D7*F7</f>
        <v/>
      </c>
      <c r="I7" s="40">
        <f>G7-H7</f>
        <v/>
      </c>
      <c r="J7" s="25" t="str"/>
      <c r="K7" s="25" t="str"/>
      <c r="L7" s="25" t="inlineStr">
        <is>
          <t>Pendiente</t>
        </is>
      </c>
      <c r="M7" s="25" t="inlineStr">
        <is>
          <t>SIM · Precio y desenlace ficticios; importe de líneas, no total fiscal.</t>
        </is>
      </c>
    </row>
    <row r="8" ht="15" customHeight="1">
      <c r="A8" s="25" t="inlineStr">
        <is>
          <t>COT-SIM-002-V01</t>
        </is>
      </c>
      <c r="B8" s="25" t="n">
        <v>1</v>
      </c>
      <c r="C8" s="25" t="inlineStr">
        <is>
          <t>PRD-SIM-001</t>
        </is>
      </c>
      <c r="D8" s="25" t="n">
        <v>80</v>
      </c>
      <c r="E8" s="40" t="n">
        <v>31.2</v>
      </c>
      <c r="F8" s="40" t="n">
        <v>31.2</v>
      </c>
      <c r="G8" s="40">
        <f>D8*E8</f>
        <v/>
      </c>
      <c r="H8" s="40">
        <f>D8*F8</f>
        <v/>
      </c>
      <c r="I8" s="40">
        <f>G8-H8</f>
        <v/>
      </c>
      <c r="J8" s="25" t="str"/>
      <c r="K8" s="25" t="str"/>
      <c r="L8" s="25" t="inlineStr">
        <is>
          <t>Adjudicada</t>
        </is>
      </c>
      <c r="M8" s="25" t="inlineStr">
        <is>
          <t>SIM · Precio y desenlace ficticios; importe de líneas, no total fiscal.</t>
        </is>
      </c>
    </row>
    <row r="9" ht="15" customHeight="1">
      <c r="A9" s="25" t="inlineStr">
        <is>
          <t>COT-SIM-002-V01</t>
        </is>
      </c>
      <c r="B9" s="25" t="n">
        <v>2</v>
      </c>
      <c r="C9" s="25" t="inlineStr">
        <is>
          <t>PRD-SIM-002</t>
        </is>
      </c>
      <c r="D9" s="25" t="n">
        <v>60</v>
      </c>
      <c r="E9" s="40" t="n">
        <v>40.5</v>
      </c>
      <c r="F9" s="40" t="n">
        <v>40.5</v>
      </c>
      <c r="G9" s="40">
        <f>D9*E9</f>
        <v/>
      </c>
      <c r="H9" s="40">
        <f>D9*F9</f>
        <v/>
      </c>
      <c r="I9" s="40">
        <f>G9-H9</f>
        <v/>
      </c>
      <c r="J9" s="25" t="str"/>
      <c r="K9" s="25" t="str"/>
      <c r="L9" s="25" t="inlineStr">
        <is>
          <t>No adjudicada</t>
        </is>
      </c>
      <c r="M9" s="25" t="inlineStr">
        <is>
          <t>SIM · Precio y desenlace ficticios; importe de líneas, no total fiscal.</t>
        </is>
      </c>
    </row>
    <row r="10" ht="15" customHeight="1">
      <c r="A10" s="25" t="inlineStr">
        <is>
          <t>COT-SIM-002-V02</t>
        </is>
      </c>
      <c r="B10" s="25" t="n">
        <v>1</v>
      </c>
      <c r="C10" s="25" t="inlineStr">
        <is>
          <t>PRD-SIM-001</t>
        </is>
      </c>
      <c r="D10" s="25" t="n">
        <v>80</v>
      </c>
      <c r="E10" s="40" t="n">
        <v>31.2</v>
      </c>
      <c r="F10" s="40" t="n">
        <v>31</v>
      </c>
      <c r="G10" s="40">
        <f>D10*E10</f>
        <v/>
      </c>
      <c r="H10" s="40">
        <f>D10*F10</f>
        <v/>
      </c>
      <c r="I10" s="40">
        <f>G10-H10</f>
        <v/>
      </c>
      <c r="J10" s="25" t="inlineStr">
        <is>
          <t>Volumen</t>
        </is>
      </c>
      <c r="K10" s="25" t="inlineStr">
        <is>
          <t>Dueño</t>
        </is>
      </c>
      <c r="L10" s="25" t="inlineStr">
        <is>
          <t>Adjudicada</t>
        </is>
      </c>
      <c r="M10" s="25" t="inlineStr">
        <is>
          <t>SIM · Precio y desenlace ficticios; importe de líneas, no total fiscal.</t>
        </is>
      </c>
    </row>
    <row r="11" ht="15" customHeight="1">
      <c r="A11" s="25" t="inlineStr">
        <is>
          <t>COT-SIM-002-V02</t>
        </is>
      </c>
      <c r="B11" s="25" t="n">
        <v>2</v>
      </c>
      <c r="C11" s="25" t="inlineStr">
        <is>
          <t>PRD-SIM-002</t>
        </is>
      </c>
      <c r="D11" s="25" t="n">
        <v>60</v>
      </c>
      <c r="E11" s="40" t="n">
        <v>40.5</v>
      </c>
      <c r="F11" s="40" t="n">
        <v>40.1</v>
      </c>
      <c r="G11" s="40">
        <f>D11*E11</f>
        <v/>
      </c>
      <c r="H11" s="40">
        <f>D11*F11</f>
        <v/>
      </c>
      <c r="I11" s="40">
        <f>G11-H11</f>
        <v/>
      </c>
      <c r="J11" s="25" t="inlineStr">
        <is>
          <t>Competencia</t>
        </is>
      </c>
      <c r="K11" s="25" t="inlineStr">
        <is>
          <t>Dueño</t>
        </is>
      </c>
      <c r="L11" s="25" t="inlineStr">
        <is>
          <t>No adjudicada</t>
        </is>
      </c>
      <c r="M11" s="25" t="inlineStr">
        <is>
          <t>SIM · Precio y desenlace ficticios; importe de líneas, no total fiscal.</t>
        </is>
      </c>
    </row>
    <row r="12" ht="15" customHeight="1">
      <c r="A12" s="25" t="inlineStr">
        <is>
          <t>COT-SIM-004-V01</t>
        </is>
      </c>
      <c r="B12" s="25" t="n">
        <v>1</v>
      </c>
      <c r="C12" s="25" t="inlineStr">
        <is>
          <t>PRD-SIM-013</t>
        </is>
      </c>
      <c r="D12" s="25" t="n">
        <v>4</v>
      </c>
      <c r="E12" s="40" t="n">
        <v>12</v>
      </c>
      <c r="F12" s="40" t="n">
        <v>12</v>
      </c>
      <c r="G12" s="40">
        <f>D12*E12</f>
        <v/>
      </c>
      <c r="H12" s="40">
        <f>D12*F12</f>
        <v/>
      </c>
      <c r="I12" s="40">
        <f>G12-H12</f>
        <v/>
      </c>
      <c r="J12" s="25" t="str"/>
      <c r="K12" s="25" t="str"/>
      <c r="L12" s="25" t="inlineStr">
        <is>
          <t>Adjudicada</t>
        </is>
      </c>
      <c r="M12" s="25" t="inlineStr">
        <is>
          <t>SIM · Precio y desenlace ficticios; importe de líneas, no total fiscal.</t>
        </is>
      </c>
    </row>
    <row r="13" ht="15" customHeight="1">
      <c r="A13" s="25" t="inlineStr">
        <is>
          <t>COT-SIM-004-V01</t>
        </is>
      </c>
      <c r="B13" s="25" t="n">
        <v>2</v>
      </c>
      <c r="C13" s="25" t="inlineStr">
        <is>
          <t>PRD-SIM-014</t>
        </is>
      </c>
      <c r="D13" s="25" t="n">
        <v>3</v>
      </c>
      <c r="E13" s="40" t="n">
        <v>8.5</v>
      </c>
      <c r="F13" s="40" t="n">
        <v>8.5</v>
      </c>
      <c r="G13" s="40">
        <f>D13*E13</f>
        <v/>
      </c>
      <c r="H13" s="40">
        <f>D13*F13</f>
        <v/>
      </c>
      <c r="I13" s="40">
        <f>G13-H13</f>
        <v/>
      </c>
      <c r="J13" s="25" t="str"/>
      <c r="K13" s="25" t="str"/>
      <c r="L13" s="25" t="inlineStr">
        <is>
          <t>Adjudicada</t>
        </is>
      </c>
      <c r="M13" s="25" t="inlineStr">
        <is>
          <t>SIM · Precio y desenlace ficticios; importe de líneas, no total fiscal.</t>
        </is>
      </c>
    </row>
    <row r="14" ht="15" customHeight="1">
      <c r="A14" s="25" t="inlineStr">
        <is>
          <t>COT-SIM-005-V01</t>
        </is>
      </c>
      <c r="B14" s="25" t="n">
        <v>1</v>
      </c>
      <c r="C14" s="25" t="inlineStr">
        <is>
          <t>PRD-SIM-012</t>
        </is>
      </c>
      <c r="D14" s="25" t="n">
        <v>5</v>
      </c>
      <c r="E14" s="40" t="n">
        <v>55</v>
      </c>
      <c r="F14" s="40" t="n">
        <v>55</v>
      </c>
      <c r="G14" s="40">
        <f>D14*E14</f>
        <v/>
      </c>
      <c r="H14" s="40">
        <f>D14*F14</f>
        <v/>
      </c>
      <c r="I14" s="40">
        <f>G14-H14</f>
        <v/>
      </c>
      <c r="J14" s="25" t="str"/>
      <c r="K14" s="25" t="str"/>
      <c r="L14" s="25" t="inlineStr">
        <is>
          <t>No adjudicada</t>
        </is>
      </c>
      <c r="M14" s="25" t="inlineStr">
        <is>
          <t>SIM · Precio y desenlace ficticios; importe de líneas, no total fiscal.</t>
        </is>
      </c>
    </row>
    <row r="15" ht="15" customHeight="1">
      <c r="A15" s="25" t="inlineStr">
        <is>
          <t>COT-SIM-005-V01</t>
        </is>
      </c>
      <c r="B15" s="25" t="n">
        <v>2</v>
      </c>
      <c r="C15" s="25" t="inlineStr">
        <is>
          <t>PRD-SIM-013</t>
        </is>
      </c>
      <c r="D15" s="25" t="n">
        <v>6</v>
      </c>
      <c r="E15" s="40" t="n">
        <v>12</v>
      </c>
      <c r="F15" s="40" t="n">
        <v>11.8</v>
      </c>
      <c r="G15" s="40">
        <f>D15*E15</f>
        <v/>
      </c>
      <c r="H15" s="40">
        <f>D15*F15</f>
        <v/>
      </c>
      <c r="I15" s="40">
        <f>G15-H15</f>
        <v/>
      </c>
      <c r="J15" s="25" t="inlineStr">
        <is>
          <t>Competencia</t>
        </is>
      </c>
      <c r="K15" s="25" t="inlineStr">
        <is>
          <t>Propietaria</t>
        </is>
      </c>
      <c r="L15" s="25" t="inlineStr">
        <is>
          <t>No adjudicada</t>
        </is>
      </c>
      <c r="M15" s="25" t="inlineStr">
        <is>
          <t>SIM · Precio y desenlace ficticios; importe de líneas, no total fiscal.</t>
        </is>
      </c>
    </row>
    <row r="16" ht="15" customHeight="1">
      <c r="A16" s="25" t="inlineStr">
        <is>
          <t>COT-SIM-006-V01</t>
        </is>
      </c>
      <c r="B16" s="25" t="n">
        <v>1</v>
      </c>
      <c r="C16" s="25" t="inlineStr">
        <is>
          <t>PRD-SIM-003</t>
        </is>
      </c>
      <c r="D16" s="25" t="n">
        <v>20</v>
      </c>
      <c r="E16" s="40" t="n">
        <v>20.5</v>
      </c>
      <c r="F16" s="40" t="n">
        <v>20.5</v>
      </c>
      <c r="G16" s="40">
        <f>D16*E16</f>
        <v/>
      </c>
      <c r="H16" s="40">
        <f>D16*F16</f>
        <v/>
      </c>
      <c r="I16" s="40">
        <f>G16-H16</f>
        <v/>
      </c>
      <c r="J16" s="25" t="str"/>
      <c r="K16" s="25" t="str"/>
      <c r="L16" s="25" t="inlineStr">
        <is>
          <t>Adjudicada</t>
        </is>
      </c>
      <c r="M16" s="25" t="inlineStr">
        <is>
          <t>SIM · Precio y desenlace ficticios; importe de líneas, no total fiscal.</t>
        </is>
      </c>
    </row>
    <row r="17" ht="15" customHeight="1">
      <c r="A17" s="25" t="inlineStr">
        <is>
          <t>COT-SIM-006-V01</t>
        </is>
      </c>
      <c r="B17" s="25" t="n">
        <v>2</v>
      </c>
      <c r="C17" s="25" t="inlineStr">
        <is>
          <t>PRD-SIM-019</t>
        </is>
      </c>
      <c r="D17" s="25" t="n">
        <v>2</v>
      </c>
      <c r="E17" s="40" t="n">
        <v>480</v>
      </c>
      <c r="F17" s="40" t="n">
        <v>480</v>
      </c>
      <c r="G17" s="40">
        <f>D17*E17</f>
        <v/>
      </c>
      <c r="H17" s="40">
        <f>D17*F17</f>
        <v/>
      </c>
      <c r="I17" s="40">
        <f>G17-H17</f>
        <v/>
      </c>
      <c r="J17" s="25" t="str"/>
      <c r="K17" s="25" t="str"/>
      <c r="L17" s="25" t="inlineStr">
        <is>
          <t>Adjudicada</t>
        </is>
      </c>
      <c r="M17" s="25" t="inlineStr">
        <is>
          <t>SIM · Precio y desenlace ficticios; importe de líneas, no total fiscal.</t>
        </is>
      </c>
    </row>
    <row r="18" ht="15" customHeight="1">
      <c r="A18" s="25" t="inlineStr">
        <is>
          <t>COT-SIM-007-V01</t>
        </is>
      </c>
      <c r="B18" s="25" t="n">
        <v>1</v>
      </c>
      <c r="C18" s="25" t="inlineStr">
        <is>
          <t>PRD-SIM-008</t>
        </is>
      </c>
      <c r="D18" s="25" t="n">
        <v>1200</v>
      </c>
      <c r="E18" s="40" t="n">
        <v>1.2</v>
      </c>
      <c r="F18" s="40" t="n">
        <v>1.2</v>
      </c>
      <c r="G18" s="40">
        <f>D18*E18</f>
        <v/>
      </c>
      <c r="H18" s="40">
        <f>D18*F18</f>
        <v/>
      </c>
      <c r="I18" s="40">
        <f>G18-H18</f>
        <v/>
      </c>
      <c r="J18" s="25" t="str"/>
      <c r="K18" s="25" t="str"/>
      <c r="L18" s="25" t="inlineStr">
        <is>
          <t>Pendiente</t>
        </is>
      </c>
      <c r="M18" s="25" t="inlineStr">
        <is>
          <t>SIM · Precio y desenlace ficticios; importe de líneas, no total fiscal.</t>
        </is>
      </c>
    </row>
    <row r="19" ht="15" customHeight="1">
      <c r="A19" s="25" t="inlineStr">
        <is>
          <t>COT-SIM-007-V01</t>
        </is>
      </c>
      <c r="B19" s="25" t="n">
        <v>2</v>
      </c>
      <c r="C19" s="25" t="inlineStr">
        <is>
          <t>PRD-SIM-005</t>
        </is>
      </c>
      <c r="D19" s="25" t="n">
        <v>4</v>
      </c>
      <c r="E19" s="40" t="n">
        <v>95</v>
      </c>
      <c r="F19" s="40" t="n">
        <v>95</v>
      </c>
      <c r="G19" s="40">
        <f>D19*E19</f>
        <v/>
      </c>
      <c r="H19" s="40">
        <f>D19*F19</f>
        <v/>
      </c>
      <c r="I19" s="40">
        <f>G19-H19</f>
        <v/>
      </c>
      <c r="J19" s="25" t="str"/>
      <c r="K19" s="25" t="str"/>
      <c r="L19" s="25" t="inlineStr">
        <is>
          <t>Pendiente</t>
        </is>
      </c>
      <c r="M19" s="25" t="inlineStr">
        <is>
          <t>SIM · Precio y desenlace ficticios; importe de líneas, no total fiscal.</t>
        </is>
      </c>
    </row>
    <row r="20" ht="15" customHeight="1">
      <c r="A20" s="25" t="inlineStr">
        <is>
          <t>COT-SIM-008-V01</t>
        </is>
      </c>
      <c r="B20" s="25" t="n">
        <v>1</v>
      </c>
      <c r="C20" s="25" t="inlineStr">
        <is>
          <t>PRD-SIM-001</t>
        </is>
      </c>
      <c r="D20" s="25" t="n">
        <v>150</v>
      </c>
      <c r="E20" s="40" t="n">
        <v>31</v>
      </c>
      <c r="F20" s="40" t="n">
        <v>31</v>
      </c>
      <c r="G20" s="40">
        <f>D20*E20</f>
        <v/>
      </c>
      <c r="H20" s="40">
        <f>D20*F20</f>
        <v/>
      </c>
      <c r="I20" s="40">
        <f>G20-H20</f>
        <v/>
      </c>
      <c r="J20" s="25" t="str"/>
      <c r="K20" s="25" t="str"/>
      <c r="L20" s="25" t="inlineStr">
        <is>
          <t>Adjudicada</t>
        </is>
      </c>
      <c r="M20" s="25" t="inlineStr">
        <is>
          <t>SIM · Precio y desenlace ficticios; importe de líneas, no total fiscal.</t>
        </is>
      </c>
    </row>
    <row r="21" ht="15" customHeight="1">
      <c r="A21" s="25" t="inlineStr">
        <is>
          <t>COT-SIM-008-V01</t>
        </is>
      </c>
      <c r="B21" s="25" t="n">
        <v>2</v>
      </c>
      <c r="C21" s="25" t="inlineStr">
        <is>
          <t>PRD-SIM-002</t>
        </is>
      </c>
      <c r="D21" s="25" t="n">
        <v>100</v>
      </c>
      <c r="E21" s="40" t="n">
        <v>40.5</v>
      </c>
      <c r="F21" s="40" t="n">
        <v>40.5</v>
      </c>
      <c r="G21" s="40">
        <f>D21*E21</f>
        <v/>
      </c>
      <c r="H21" s="40">
        <f>D21*F21</f>
        <v/>
      </c>
      <c r="I21" s="40">
        <f>G21-H21</f>
        <v/>
      </c>
      <c r="J21" s="25" t="str"/>
      <c r="K21" s="25" t="str"/>
      <c r="L21" s="25" t="inlineStr">
        <is>
          <t>No adjudicada</t>
        </is>
      </c>
      <c r="M21" s="25" t="inlineStr">
        <is>
          <t>SIM · Precio y desenlace ficticios; importe de líneas, no total fiscal.</t>
        </is>
      </c>
    </row>
    <row r="22" ht="15" customHeight="1">
      <c r="A22" s="25" t="inlineStr">
        <is>
          <t>COT-SIM-008-V02</t>
        </is>
      </c>
      <c r="B22" s="25" t="n">
        <v>1</v>
      </c>
      <c r="C22" s="25" t="inlineStr">
        <is>
          <t>PRD-SIM-001</t>
        </is>
      </c>
      <c r="D22" s="25" t="n">
        <v>150</v>
      </c>
      <c r="E22" s="40" t="n">
        <v>31</v>
      </c>
      <c r="F22" s="40" t="n">
        <v>30.8</v>
      </c>
      <c r="G22" s="40">
        <f>D22*E22</f>
        <v/>
      </c>
      <c r="H22" s="40">
        <f>D22*F22</f>
        <v/>
      </c>
      <c r="I22" s="40">
        <f>G22-H22</f>
        <v/>
      </c>
      <c r="J22" s="25" t="inlineStr">
        <is>
          <t>Volumen</t>
        </is>
      </c>
      <c r="K22" s="25" t="inlineStr">
        <is>
          <t>Propietaria</t>
        </is>
      </c>
      <c r="L22" s="25" t="inlineStr">
        <is>
          <t>Adjudicada</t>
        </is>
      </c>
      <c r="M22" s="25" t="inlineStr">
        <is>
          <t>SIM · Precio y desenlace ficticios; importe de líneas, no total fiscal.</t>
        </is>
      </c>
    </row>
    <row r="23" ht="15" customHeight="1">
      <c r="A23" s="25" t="inlineStr">
        <is>
          <t>COT-SIM-008-V02</t>
        </is>
      </c>
      <c r="B23" s="25" t="n">
        <v>2</v>
      </c>
      <c r="C23" s="25" t="inlineStr">
        <is>
          <t>PRD-SIM-002</t>
        </is>
      </c>
      <c r="D23" s="25" t="n">
        <v>100</v>
      </c>
      <c r="E23" s="40" t="n">
        <v>40.5</v>
      </c>
      <c r="F23" s="40" t="n">
        <v>40.4</v>
      </c>
      <c r="G23" s="40">
        <f>D23*E23</f>
        <v/>
      </c>
      <c r="H23" s="40">
        <f>D23*F23</f>
        <v/>
      </c>
      <c r="I23" s="40">
        <f>G23-H23</f>
        <v/>
      </c>
      <c r="J23" s="25" t="inlineStr">
        <is>
          <t>Competencia</t>
        </is>
      </c>
      <c r="K23" s="25" t="inlineStr">
        <is>
          <t>Propietaria</t>
        </is>
      </c>
      <c r="L23" s="25" t="inlineStr">
        <is>
          <t>No adjudicada</t>
        </is>
      </c>
      <c r="M23" s="25" t="inlineStr">
        <is>
          <t>SIM · Precio y desenlace ficticios; importe de líneas, no total fiscal.</t>
        </is>
      </c>
    </row>
    <row r="24" ht="15" customHeight="1">
      <c r="A24" s="25" t="inlineStr">
        <is>
          <t>COT-SIM-009-V01</t>
        </is>
      </c>
      <c r="B24" s="25" t="n">
        <v>1</v>
      </c>
      <c r="C24" s="25" t="inlineStr">
        <is>
          <t>PRD-SIM-019</t>
        </is>
      </c>
      <c r="D24" s="25" t="n">
        <v>1</v>
      </c>
      <c r="E24" s="40" t="n">
        <v>480</v>
      </c>
      <c r="F24" s="40" t="n">
        <v>480</v>
      </c>
      <c r="G24" s="40">
        <f>D24*E24</f>
        <v/>
      </c>
      <c r="H24" s="40">
        <f>D24*F24</f>
        <v/>
      </c>
      <c r="I24" s="40">
        <f>G24-H24</f>
        <v/>
      </c>
      <c r="J24" s="25" t="str"/>
      <c r="K24" s="25" t="str"/>
      <c r="L24" s="25" t="inlineStr">
        <is>
          <t>Adjudicada</t>
        </is>
      </c>
      <c r="M24" s="25" t="inlineStr">
        <is>
          <t>SIM · Precio y desenlace ficticios; importe de líneas, no total fiscal.</t>
        </is>
      </c>
    </row>
    <row r="25" ht="15" customHeight="1">
      <c r="A25" s="25" t="inlineStr">
        <is>
          <t>COT-SIM-009-V01</t>
        </is>
      </c>
      <c r="B25" s="25" t="n">
        <v>2</v>
      </c>
      <c r="C25" s="25" t="inlineStr">
        <is>
          <t>PRD-SIM-003</t>
        </is>
      </c>
      <c r="D25" s="25" t="n">
        <v>15</v>
      </c>
      <c r="E25" s="40" t="n">
        <v>20</v>
      </c>
      <c r="F25" s="40" t="n">
        <v>20</v>
      </c>
      <c r="G25" s="40">
        <f>D25*E25</f>
        <v/>
      </c>
      <c r="H25" s="40">
        <f>D25*F25</f>
        <v/>
      </c>
      <c r="I25" s="40">
        <f>G25-H25</f>
        <v/>
      </c>
      <c r="J25" s="25" t="str"/>
      <c r="K25" s="25" t="str"/>
      <c r="L25" s="25" t="inlineStr">
        <is>
          <t>Adjudicada</t>
        </is>
      </c>
      <c r="M25" s="25" t="inlineStr">
        <is>
          <t>SIM · Precio y desenlace ficticios; importe de líneas, no total fiscal.</t>
        </is>
      </c>
    </row>
    <row r="26" ht="15" customHeight="1">
      <c r="A26" s="25" t="inlineStr">
        <is>
          <t>COT-SIM-011-V01</t>
        </is>
      </c>
      <c r="B26" s="25" t="n">
        <v>1</v>
      </c>
      <c r="C26" s="25" t="inlineStr">
        <is>
          <t>PRD-SIM-001</t>
        </is>
      </c>
      <c r="D26" s="25" t="n">
        <v>200</v>
      </c>
      <c r="E26" s="40" t="n">
        <v>30.8</v>
      </c>
      <c r="F26" s="40" t="n">
        <v>30.8</v>
      </c>
      <c r="G26" s="40">
        <f>D26*E26</f>
        <v/>
      </c>
      <c r="H26" s="40">
        <f>D26*F26</f>
        <v/>
      </c>
      <c r="I26" s="40">
        <f>G26-H26</f>
        <v/>
      </c>
      <c r="J26" s="25" t="str"/>
      <c r="K26" s="25" t="str"/>
      <c r="L26" s="25" t="inlineStr">
        <is>
          <t>No adjudicada</t>
        </is>
      </c>
      <c r="M26" s="25" t="inlineStr">
        <is>
          <t>SIM · Precio y desenlace ficticios; importe de líneas, no total fiscal.</t>
        </is>
      </c>
    </row>
    <row r="27" ht="15" customHeight="1">
      <c r="A27" s="25" t="inlineStr">
        <is>
          <t>COT-SIM-011-V01</t>
        </is>
      </c>
      <c r="B27" s="25" t="n">
        <v>2</v>
      </c>
      <c r="C27" s="25" t="inlineStr">
        <is>
          <t>PRD-SIM-002</t>
        </is>
      </c>
      <c r="D27" s="25" t="n">
        <v>120</v>
      </c>
      <c r="E27" s="40" t="n">
        <v>40.4</v>
      </c>
      <c r="F27" s="40" t="n">
        <v>40.4</v>
      </c>
      <c r="G27" s="40">
        <f>D27*E27</f>
        <v/>
      </c>
      <c r="H27" s="40">
        <f>D27*F27</f>
        <v/>
      </c>
      <c r="I27" s="40">
        <f>G27-H27</f>
        <v/>
      </c>
      <c r="J27" s="25" t="str"/>
      <c r="K27" s="25" t="str"/>
      <c r="L27" s="25" t="inlineStr">
        <is>
          <t>No adjudicada</t>
        </is>
      </c>
      <c r="M27" s="25" t="inlineStr">
        <is>
          <t>SIM · Precio y desenlace ficticios; importe de líneas, no total fiscal.</t>
        </is>
      </c>
    </row>
    <row r="28" ht="15" customHeight="1">
      <c r="A28" s="25" t="inlineStr">
        <is>
          <t>COT-SIM-013-V01</t>
        </is>
      </c>
      <c r="B28" s="25" t="n">
        <v>1</v>
      </c>
      <c r="C28" s="25" t="inlineStr">
        <is>
          <t>PRD-SIM-001</t>
        </is>
      </c>
      <c r="D28" s="25" t="n">
        <v>100</v>
      </c>
      <c r="E28" s="40" t="n">
        <v>31.1</v>
      </c>
      <c r="F28" s="40" t="n">
        <v>31.1</v>
      </c>
      <c r="G28" s="40">
        <f>D28*E28</f>
        <v/>
      </c>
      <c r="H28" s="40">
        <f>D28*F28</f>
        <v/>
      </c>
      <c r="I28" s="40">
        <f>G28-H28</f>
        <v/>
      </c>
      <c r="J28" s="25" t="str"/>
      <c r="K28" s="25" t="str"/>
      <c r="L28" s="25" t="inlineStr">
        <is>
          <t>Adjudicada</t>
        </is>
      </c>
      <c r="M28" s="25" t="inlineStr">
        <is>
          <t>SIM · Precio y desenlace ficticios; importe de líneas, no total fiscal.</t>
        </is>
      </c>
    </row>
    <row r="29" ht="15" customHeight="1">
      <c r="A29" s="25" t="inlineStr">
        <is>
          <t>COT-SIM-013-V01</t>
        </is>
      </c>
      <c r="B29" s="25" t="n">
        <v>2</v>
      </c>
      <c r="C29" s="25" t="inlineStr">
        <is>
          <t>PRD-SIM-005</t>
        </is>
      </c>
      <c r="D29" s="25" t="n">
        <v>5</v>
      </c>
      <c r="E29" s="40" t="n">
        <v>96</v>
      </c>
      <c r="F29" s="40" t="n">
        <v>96</v>
      </c>
      <c r="G29" s="40">
        <f>D29*E29</f>
        <v/>
      </c>
      <c r="H29" s="40">
        <f>D29*F29</f>
        <v/>
      </c>
      <c r="I29" s="40">
        <f>G29-H29</f>
        <v/>
      </c>
      <c r="J29" s="25" t="str"/>
      <c r="K29" s="25" t="str"/>
      <c r="L29" s="25" t="inlineStr">
        <is>
          <t>No adjudicada</t>
        </is>
      </c>
      <c r="M29" s="25" t="inlineStr">
        <is>
          <t>SIM · Precio y desenlace ficticios; importe de líneas, no total fiscal.</t>
        </is>
      </c>
    </row>
    <row r="30" ht="15" customHeight="1">
      <c r="A30" s="25" t="inlineStr">
        <is>
          <t>COT-SIM-013-V02</t>
        </is>
      </c>
      <c r="B30" s="25" t="n">
        <v>1</v>
      </c>
      <c r="C30" s="25" t="inlineStr">
        <is>
          <t>PRD-SIM-001</t>
        </is>
      </c>
      <c r="D30" s="25" t="n">
        <v>100</v>
      </c>
      <c r="E30" s="40" t="n">
        <v>31.1</v>
      </c>
      <c r="F30" s="40" t="n">
        <v>30.9</v>
      </c>
      <c r="G30" s="40">
        <f>D30*E30</f>
        <v/>
      </c>
      <c r="H30" s="40">
        <f>D30*F30</f>
        <v/>
      </c>
      <c r="I30" s="40">
        <f>G30-H30</f>
        <v/>
      </c>
      <c r="J30" s="25" t="inlineStr">
        <is>
          <t>Condición de entrega</t>
        </is>
      </c>
      <c r="K30" s="25" t="inlineStr">
        <is>
          <t>Dueño</t>
        </is>
      </c>
      <c r="L30" s="25" t="inlineStr">
        <is>
          <t>Adjudicada</t>
        </is>
      </c>
      <c r="M30" s="25" t="inlineStr">
        <is>
          <t>SIM · Precio y desenlace ficticios; importe de líneas, no total fiscal.</t>
        </is>
      </c>
    </row>
    <row r="31" ht="15" customHeight="1">
      <c r="A31" s="25" t="inlineStr">
        <is>
          <t>COT-SIM-013-V02</t>
        </is>
      </c>
      <c r="B31" s="25" t="n">
        <v>2</v>
      </c>
      <c r="C31" s="25" t="inlineStr">
        <is>
          <t>PRD-SIM-005</t>
        </is>
      </c>
      <c r="D31" s="25" t="n">
        <v>5</v>
      </c>
      <c r="E31" s="40" t="n">
        <v>96</v>
      </c>
      <c r="F31" s="40" t="n">
        <v>96</v>
      </c>
      <c r="G31" s="40">
        <f>D31*E31</f>
        <v/>
      </c>
      <c r="H31" s="40">
        <f>D31*F31</f>
        <v/>
      </c>
      <c r="I31" s="40">
        <f>G31-H31</f>
        <v/>
      </c>
      <c r="J31" s="25" t="n"/>
      <c r="K31" s="25" t="n"/>
      <c r="L31" s="25" t="inlineStr">
        <is>
          <t>No adjudicada</t>
        </is>
      </c>
      <c r="M31" s="25" t="inlineStr">
        <is>
          <t>SIM · Arena no adjudicada por flete; precio sin ajuste.</t>
        </is>
      </c>
    </row>
    <row r="32" ht="15" customHeight="1">
      <c r="A32" s="25" t="inlineStr">
        <is>
          <t>COT-SIM-015-V01</t>
        </is>
      </c>
      <c r="B32" s="25" t="n">
        <v>1</v>
      </c>
      <c r="C32" s="25" t="inlineStr">
        <is>
          <t>PRD-SIM-010</t>
        </is>
      </c>
      <c r="D32" s="25" t="n">
        <v>3</v>
      </c>
      <c r="E32" s="40" t="n">
        <v>150</v>
      </c>
      <c r="F32" s="40" t="n">
        <v>150</v>
      </c>
      <c r="G32" s="40">
        <f>D32*E32</f>
        <v/>
      </c>
      <c r="H32" s="40">
        <f>D32*F32</f>
        <v/>
      </c>
      <c r="I32" s="40">
        <f>G32-H32</f>
        <v/>
      </c>
      <c r="J32" s="25" t="str"/>
      <c r="K32" s="25" t="str"/>
      <c r="L32" s="25" t="inlineStr">
        <is>
          <t>No adjudicada</t>
        </is>
      </c>
      <c r="M32" s="25" t="inlineStr">
        <is>
          <t>SIM · Precio y desenlace ficticios; importe de líneas, no total fiscal.</t>
        </is>
      </c>
    </row>
    <row r="33" ht="15" customHeight="1">
      <c r="A33" s="25" t="inlineStr">
        <is>
          <t>COT-SIM-015-V01</t>
        </is>
      </c>
      <c r="B33" s="25" t="n">
        <v>2</v>
      </c>
      <c r="C33" s="25" t="inlineStr">
        <is>
          <t>PRD-SIM-011</t>
        </is>
      </c>
      <c r="D33" s="25" t="n">
        <v>20</v>
      </c>
      <c r="E33" s="40" t="n">
        <v>18</v>
      </c>
      <c r="F33" s="40" t="n">
        <v>18</v>
      </c>
      <c r="G33" s="40">
        <f>D33*E33</f>
        <v/>
      </c>
      <c r="H33" s="40">
        <f>D33*F33</f>
        <v/>
      </c>
      <c r="I33" s="40">
        <f>G33-H33</f>
        <v/>
      </c>
      <c r="J33" s="25" t="str"/>
      <c r="K33" s="25" t="str"/>
      <c r="L33" s="25" t="inlineStr">
        <is>
          <t>No adjudicada</t>
        </is>
      </c>
      <c r="M33" s="25" t="inlineStr">
        <is>
          <t>SIM · Precio y desenlace ficticios; importe de líneas, no total fiscal.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0" customWidth="1" min="4" max="4"/>
    <col width="29" customWidth="1" min="5" max="5"/>
    <col width="80" customWidth="1" min="6" max="6"/>
    <col width="88" customWidth="1" min="7" max="7"/>
    <col width="18" customWidth="1" min="8" max="8"/>
    <col width="16" customWidth="1" min="9" max="9"/>
    <col width="84" customWidth="1" min="10" max="10"/>
    <col width="18" customWidth="1" min="11" max="11"/>
    <col width="72" customWidth="1" min="12" max="12"/>
  </cols>
  <sheetData>
    <row r="1" ht="24" customHeight="1">
      <c r="A1" s="7" t="inlineStr">
        <is>
          <t>Decisiones comerciales sintéticas</t>
        </is>
      </c>
      <c r="B1" s="1" t="n"/>
      <c r="C1" s="1" t="n"/>
      <c r="D1" s="1" t="n"/>
      <c r="E1" s="1" t="n"/>
      <c r="F1" s="1" t="n"/>
      <c r="G1" s="1" t="n"/>
      <c r="H1" s="1" t="n"/>
    </row>
    <row r="2"/>
    <row r="3"/>
    <row r="4">
      <c r="A4" s="18" t="inlineStr">
        <is>
          <t>id_decision</t>
        </is>
      </c>
      <c r="B4" s="18" t="inlineStr">
        <is>
          <t>tipo_decision</t>
        </is>
      </c>
      <c r="C4" s="18" t="inlineStr">
        <is>
          <t>id_oportunidad</t>
        </is>
      </c>
      <c r="D4" s="18" t="inlineStr">
        <is>
          <t>id_cotizacion</t>
        </is>
      </c>
      <c r="E4" s="18" t="inlineStr">
        <is>
          <t>objeto_afectado</t>
        </is>
      </c>
      <c r="F4" s="18" t="inlineStr">
        <is>
          <t>situacion</t>
        </is>
      </c>
      <c r="G4" s="18" t="inlineStr">
        <is>
          <t>decision</t>
        </is>
      </c>
      <c r="H4" s="18" t="inlineStr">
        <is>
          <t>decidido_por</t>
        </is>
      </c>
      <c r="I4" s="18" t="inlineStr">
        <is>
          <t>fecha_decision</t>
        </is>
      </c>
      <c r="J4" s="18" t="inlineStr">
        <is>
          <t>evidencia_esperada</t>
        </is>
      </c>
      <c r="K4" s="18" t="inlineStr">
        <is>
          <t>clasificacion</t>
        </is>
      </c>
      <c r="L4" s="18" t="inlineStr">
        <is>
          <t>nota</t>
        </is>
      </c>
    </row>
    <row r="5" ht="15" customHeight="1">
      <c r="A5" s="25" t="inlineStr">
        <is>
          <t>DEC-SIM-001</t>
        </is>
      </c>
      <c r="B5" s="25" t="inlineStr">
        <is>
          <t>Descuento</t>
        </is>
      </c>
      <c r="C5" s="25" t="inlineStr">
        <is>
          <t>OPP-SIM-002</t>
        </is>
      </c>
      <c r="D5" s="25" t="inlineStr">
        <is>
          <t>COT-SIM-002-V02</t>
        </is>
      </c>
      <c r="E5" s="25" t="inlineStr">
        <is>
          <t>PRD-SIM-002</t>
        </is>
      </c>
      <c r="F5" s="25" t="inlineStr">
        <is>
          <t>Julio Rojas informa que otra ferretería mejora el precio del fierro para San Diego.</t>
        </is>
      </c>
      <c r="G5" s="25" t="inlineStr">
        <is>
          <t>Ajuste a S/ 40.10 por barra autorizado; cliente finalmente compra fierro fuera.</t>
        </is>
      </c>
      <c r="H5" s="25" t="inlineStr">
        <is>
          <t>Dueño</t>
        </is>
      </c>
      <c r="I5" s="41" t="n">
        <v>46311</v>
      </c>
      <c r="J5" s="25" t="inlineStr">
        <is>
          <t>COT-SIM-002-V02; referencia S/ 40.50; ofrecido S/ 40.10; motivo y autorizador.</t>
        </is>
      </c>
      <c r="K5" s="25" t="inlineStr">
        <is>
          <t>TO-BE/SIM</t>
        </is>
      </c>
      <c r="L5" s="25" t="inlineStr">
        <is>
          <t>SIM · Decisión ficticia para exposición; no validada por MIGAL.</t>
        </is>
      </c>
    </row>
    <row r="6" ht="15" customHeight="1">
      <c r="A6" s="25" t="inlineStr">
        <is>
          <t>DEC-SIM-002</t>
        </is>
      </c>
      <c r="B6" s="25" t="inlineStr">
        <is>
          <t>Descuento</t>
        </is>
      </c>
      <c r="C6" s="25" t="inlineStr">
        <is>
          <t>OPP-SIM-008</t>
        </is>
      </c>
      <c r="D6" s="25" t="inlineStr">
        <is>
          <t>COT-SIM-008-V02</t>
        </is>
      </c>
      <c r="E6" s="25" t="inlineStr">
        <is>
          <t>PRD-SIM-001</t>
        </is>
      </c>
      <c r="F6" s="25" t="inlineStr">
        <is>
          <t>Ana Torres solicita mejorar precio por 150 bolsas para vivienda en Carabayllo.</t>
        </is>
      </c>
      <c r="G6" s="25" t="inlineStr">
        <is>
          <t>Precio de cemento S/ 30.80 autorizado; cliente adjudica esa línea.</t>
        </is>
      </c>
      <c r="H6" s="25" t="inlineStr">
        <is>
          <t>Propietaria</t>
        </is>
      </c>
      <c r="I6" s="41" t="n">
        <v>46311</v>
      </c>
      <c r="J6" s="25" t="inlineStr">
        <is>
          <t>COT-SIM-008-V02; 150 bolsas; diferencia S/ 30.00; autorización por volumen.</t>
        </is>
      </c>
      <c r="K6" s="25" t="inlineStr">
        <is>
          <t>TO-BE/SIM</t>
        </is>
      </c>
      <c r="L6" s="25" t="inlineStr">
        <is>
          <t>SIM · Decisión ficticia para exposición; no validada por MIGAL.</t>
        </is>
      </c>
    </row>
    <row r="7" ht="15" customHeight="1">
      <c r="A7" s="25" t="inlineStr">
        <is>
          <t>DEC-SIM-003</t>
        </is>
      </c>
      <c r="B7" s="25" t="inlineStr">
        <is>
          <t>Promesa</t>
        </is>
      </c>
      <c r="C7" s="25" t="inlineStr">
        <is>
          <t>OPP-SIM-007</t>
        </is>
      </c>
      <c r="D7" s="25" t="inlineStr">
        <is>
          <t>COT-SIM-007-V01</t>
        </is>
      </c>
      <c r="E7" s="25" t="inlineStr">
        <is>
          <t>PRD-SIM-008</t>
        </is>
      </c>
      <c r="F7" s="25" t="inlineStr">
        <is>
          <t>Juan Huerta pide fecha para 1200 ladrillos; aún falta confirmar lote y acceso en Puente Piedra.</t>
        </is>
      </c>
      <c r="G7" s="25" t="inlineStr">
        <is>
          <t>Fecha de entrega pendiente de disponibilidad y revisión de acceso.</t>
        </is>
      </c>
      <c r="H7" s="25" t="inlineStr">
        <is>
          <t>Dueño</t>
        </is>
      </c>
      <c r="I7" s="41" t="n">
        <v>46311</v>
      </c>
      <c r="J7" s="25" t="inlineStr">
        <is>
          <t>COT-SIM-007-V01; 1200 piezas; consulta a proveedor; responsable de respuesta.</t>
        </is>
      </c>
      <c r="K7" s="25" t="inlineStr">
        <is>
          <t>TO-BE/SIM</t>
        </is>
      </c>
      <c r="L7" s="25" t="inlineStr">
        <is>
          <t>SIM · Decisión ficticia para exposición; no validada por MIGAL.</t>
        </is>
      </c>
    </row>
    <row r="8" ht="15" customHeight="1">
      <c r="A8" s="25" t="inlineStr">
        <is>
          <t>DEC-SIM-004</t>
        </is>
      </c>
      <c r="B8" s="25" t="inlineStr">
        <is>
          <t>Promesa</t>
        </is>
      </c>
      <c r="C8" s="25" t="inlineStr">
        <is>
          <t>OPP-SIM-009</t>
        </is>
      </c>
      <c r="D8" s="25" t="inlineStr">
        <is>
          <t>COT-SIM-009-V01</t>
        </is>
      </c>
      <c r="E8" s="25" t="inlineStr">
        <is>
          <t>Tanque 1100 L y tubería</t>
        </is>
      </c>
      <c r="F8" s="25" t="inlineStr">
        <is>
          <t>Renato Gálvez confirma portón y espacio para descarga en el local de Fiori.</t>
        </is>
      </c>
      <c r="G8" s="25" t="inlineStr">
        <is>
          <t>Promesa condicionada a confirmar jornada, vehículo y personal; no hay reserva ni entrega ejecutada.</t>
        </is>
      </c>
      <c r="H8" s="25" t="inlineStr">
        <is>
          <t>Dueño</t>
        </is>
      </c>
      <c r="I8" s="41" t="n">
        <v>46311</v>
      </c>
      <c r="J8" s="25" t="inlineStr">
        <is>
          <t>COT-SIM-009-V01; DIR-SIM-007; condición comunicada y responsable.</t>
        </is>
      </c>
      <c r="K8" s="25" t="inlineStr">
        <is>
          <t>TO-BE/SIM</t>
        </is>
      </c>
      <c r="L8" s="25" t="inlineStr">
        <is>
          <t>SIM · Decisión ficticia para exposición; no validada por MIGAL.</t>
        </is>
      </c>
    </row>
    <row r="9" ht="15" customHeight="1">
      <c r="A9" s="25" t="inlineStr">
        <is>
          <t>DEC-SIM-005</t>
        </is>
      </c>
      <c r="B9" s="25" t="inlineStr">
        <is>
          <t>Facturación</t>
        </is>
      </c>
      <c r="C9" s="25" t="inlineStr">
        <is>
          <t>OPP-SIM-006</t>
        </is>
      </c>
      <c r="D9" s="25" t="inlineStr">
        <is>
          <t>COT-SIM-006-V01</t>
        </is>
      </c>
      <c r="E9" s="25" t="inlineStr">
        <is>
          <t>Comprobante previsto</t>
        </is>
      </c>
      <c r="F9" s="25" t="inlineStr">
        <is>
          <t>Mariela Córdova solicita factura para Obras y Acabados Ladera Norte S.A.C.</t>
        </is>
      </c>
      <c r="G9" s="25" t="inlineStr">
        <is>
          <t>Factura prevista; identificación fiscal ficticia en ficha. No emitida.</t>
        </is>
      </c>
      <c r="H9" s="25" t="inlineStr">
        <is>
          <t>Propietaria</t>
        </is>
      </c>
      <c r="I9" s="41" t="n">
        <v>46311</v>
      </c>
      <c r="J9" s="25" t="inlineStr">
        <is>
          <t>COT-SIM-006-V01; cuenta CLI-SIM-006; condición fiscal registrada.</t>
        </is>
      </c>
      <c r="K9" s="25" t="inlineStr">
        <is>
          <t>TO-BE/SIM</t>
        </is>
      </c>
      <c r="L9" s="25" t="inlineStr">
        <is>
          <t>SIM · Decisión ficticia para exposición; no validada por MIGAL.</t>
        </is>
      </c>
    </row>
    <row r="10" ht="15" customHeight="1">
      <c r="A10" s="25" t="inlineStr">
        <is>
          <t>DEC-SIM-006</t>
        </is>
      </c>
      <c r="B10" s="25" t="inlineStr">
        <is>
          <t>Facturación</t>
        </is>
      </c>
      <c r="C10" s="25" t="inlineStr">
        <is>
          <t>OPP-SIM-004</t>
        </is>
      </c>
      <c r="D10" s="25" t="inlineStr">
        <is>
          <t>COT-SIM-004-V01</t>
        </is>
      </c>
      <c r="E10" s="25" t="inlineStr">
        <is>
          <t>Comprobante previsto</t>
        </is>
      </c>
      <c r="F10" s="25" t="inlineStr">
        <is>
          <t>Carmen Paredes pide boleta por brochas y discos para reparación de vivienda.</t>
        </is>
      </c>
      <c r="G10" s="25" t="inlineStr">
        <is>
          <t>Boleta prevista; retiro en tienda por coordinar. No emitida.</t>
        </is>
      </c>
      <c r="H10" s="25" t="inlineStr">
        <is>
          <t>Dueño</t>
        </is>
      </c>
      <c r="I10" s="41" t="n">
        <v>46311</v>
      </c>
      <c r="J10" s="25" t="inlineStr">
        <is>
          <t>COT-SIM-004-V01; cuenta CLI-SIM-004; condición comercial.</t>
        </is>
      </c>
      <c r="K10" s="25" t="inlineStr">
        <is>
          <t>TO-BE/SIM</t>
        </is>
      </c>
      <c r="L10" s="25" t="inlineStr">
        <is>
          <t>SIM · Decisión ficticia para exposición; no validada por MIGAL.</t>
        </is>
      </c>
    </row>
    <row r="11">
      <c r="I11" s="39" t="n"/>
    </row>
    <row r="12">
      <c r="I12" s="39" t="n"/>
    </row>
    <row r="13">
      <c r="I13" s="39" t="n"/>
    </row>
    <row r="14">
      <c r="I14" s="39" t="n"/>
    </row>
    <row r="15">
      <c r="I15" s="39" t="n"/>
    </row>
    <row r="16">
      <c r="I16" s="39" t="n"/>
    </row>
    <row r="17">
      <c r="I17" s="39" t="n"/>
    </row>
    <row r="18">
      <c r="I18" s="39" t="n"/>
    </row>
    <row r="19">
      <c r="I19" s="39" t="n"/>
    </row>
    <row r="20">
      <c r="I20" s="39" t="n"/>
    </row>
    <row r="21">
      <c r="I21" s="39" t="n"/>
    </row>
    <row r="22">
      <c r="I22" s="39" t="n"/>
    </row>
    <row r="23">
      <c r="I23" s="39" t="n"/>
    </row>
    <row r="24">
      <c r="I24" s="39" t="n"/>
    </row>
    <row r="25">
      <c r="I25" s="39" t="n"/>
    </row>
    <row r="26">
      <c r="I26" s="39" t="n"/>
    </row>
    <row r="27">
      <c r="I27" s="39" t="n"/>
    </row>
    <row r="28">
      <c r="I28" s="39" t="n"/>
    </row>
    <row r="29">
      <c r="I29" s="39" t="n"/>
    </row>
    <row r="30">
      <c r="I30" s="39" t="n"/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14" customWidth="1" min="1" max="1"/>
    <col width="16" customWidth="1" min="2" max="2"/>
    <col width="53" customWidth="1" min="3" max="3"/>
    <col width="14" customWidth="1" min="4" max="4"/>
    <col width="79" customWidth="1" min="5" max="5"/>
    <col width="34" customWidth="1" min="6" max="6"/>
    <col width="71" customWidth="1" min="7" max="7"/>
  </cols>
  <sheetData>
    <row r="1" ht="24" customHeight="1">
      <c r="A1" s="7" t="inlineStr">
        <is>
          <t>Trazabilidad de afirmaciones y fuentes</t>
        </is>
      </c>
      <c r="B1" s="1" t="n"/>
      <c r="C1" s="1" t="n"/>
      <c r="D1" s="1" t="n"/>
      <c r="E1" s="1" t="n"/>
      <c r="F1" s="1" t="n"/>
      <c r="G1" s="1" t="n"/>
      <c r="H1" s="1" t="n"/>
    </row>
    <row r="2"/>
    <row r="3"/>
    <row r="4">
      <c r="A4" s="18" t="inlineStr">
        <is>
          <t>id_fuente</t>
        </is>
      </c>
      <c r="B4" s="18" t="inlineStr">
        <is>
          <t>tipo</t>
        </is>
      </c>
      <c r="C4" s="18" t="inlineStr">
        <is>
          <t>fuente</t>
        </is>
      </c>
      <c r="D4" s="18" t="inlineStr">
        <is>
          <t>fecha</t>
        </is>
      </c>
      <c r="E4" s="18" t="inlineStr">
        <is>
          <t>afirmacion_respaldada</t>
        </is>
      </c>
      <c r="F4" s="18" t="inlineStr">
        <is>
          <t>uso_en_workbook</t>
        </is>
      </c>
      <c r="G4" s="18" t="inlineStr">
        <is>
          <t>observacion</t>
        </is>
      </c>
    </row>
    <row r="5" ht="15" customHeight="1">
      <c r="A5" s="25" t="inlineStr">
        <is>
          <t>FN-01</t>
        </is>
      </c>
      <c r="B5" s="25" t="inlineStr">
        <is>
          <t>Negocio</t>
        </is>
      </c>
      <c r="C5" s="25" t="inlineStr">
        <is>
          <t>Monografía 1 - Grupo 1 - SI704V</t>
        </is>
      </c>
      <c r="D5" s="25" t="inlineStr">
        <is>
          <t>2026-10-15</t>
        </is>
      </c>
      <c r="E5" s="25" t="inlineStr">
        <is>
          <t>Operación, actores, canales, precios, cotizaciones, reparto, responsabilidades</t>
        </is>
      </c>
      <c r="F5" s="25" t="inlineStr">
        <is>
          <t>Base AS-IS</t>
        </is>
      </c>
      <c r="G5" s="25" t="inlineStr">
        <is>
          <t>Documento interno elaborado por el equipo</t>
        </is>
      </c>
    </row>
    <row r="6" ht="15" customHeight="1">
      <c r="A6" s="25" t="inlineStr">
        <is>
          <t>FN-02</t>
        </is>
      </c>
      <c r="B6" s="25" t="inlineStr">
        <is>
          <t>Negocio</t>
        </is>
      </c>
      <c r="C6" s="25" t="inlineStr">
        <is>
          <t>Aclaraciones de campo registradas por Brenda</t>
        </is>
      </c>
      <c r="D6" s="25" t="inlineStr">
        <is>
          <t>2026-10-16</t>
        </is>
      </c>
      <c r="E6" s="25" t="inlineStr">
        <is>
          <t>Contactos, obras, competencia, descuentos, seguimiento, facturación, direcciones e infraestructura</t>
        </is>
      </c>
      <c r="F6" s="25" t="inlineStr">
        <is>
          <t>Base AS-IS</t>
        </is>
      </c>
      <c r="G6" s="25" t="inlineStr">
        <is>
          <t>Levantamiento complementario</t>
        </is>
      </c>
    </row>
    <row r="7" ht="15" customHeight="1">
      <c r="A7" s="25" t="inlineStr">
        <is>
          <t>FC-01</t>
        </is>
      </c>
      <c r="B7" s="25" t="inlineStr">
        <is>
          <t>Docente</t>
        </is>
      </c>
      <c r="C7" s="25" t="inlineStr">
        <is>
          <t>GE703 Sesión 6 - CRM, marketing y ventas</t>
        </is>
      </c>
      <c r="D7" s="25" t="inlineStr">
        <is>
          <t>2026-10</t>
        </is>
      </c>
      <c r="E7" s="25" t="inlineStr">
        <is>
          <t>Cuenta, contacto, oportunidad, cotización y frontera conceptual CRM–ERP</t>
        </is>
      </c>
      <c r="F7" s="25" t="inlineStr">
        <is>
          <t>Marco conceptual</t>
        </is>
      </c>
      <c r="G7" s="25" t="inlineStr">
        <is>
          <t>No aporta datos reales de MIGAL</t>
        </is>
      </c>
    </row>
    <row r="8" ht="15" customHeight="1">
      <c r="A8" s="25" t="inlineStr">
        <is>
          <t>FC-02</t>
        </is>
      </c>
      <c r="B8" s="25" t="inlineStr">
        <is>
          <t>Docente</t>
        </is>
      </c>
      <c r="C8" s="25" t="inlineStr">
        <is>
          <t>GE703 Instrucciones y rúbrica del curso</t>
        </is>
      </c>
      <c r="D8" s="25" t="inlineStr">
        <is>
          <t>2026-10-15</t>
        </is>
      </c>
      <c r="E8" s="25" t="inlineStr">
        <is>
          <t>Alcance del entregable comercial</t>
        </is>
      </c>
      <c r="F8" s="25" t="inlineStr">
        <is>
          <t>Delimitación de alcance</t>
        </is>
      </c>
      <c r="G8" s="25" t="inlineStr">
        <is>
          <t>Corte antes del pedido confirmado</t>
        </is>
      </c>
    </row>
    <row r="9" ht="15" customHeight="1">
      <c r="A9" s="25" t="inlineStr">
        <is>
          <t>FD-01</t>
        </is>
      </c>
      <c r="B9" s="25" t="inlineStr">
        <is>
          <t>Docente</t>
        </is>
      </c>
      <c r="C9" s="25" t="inlineStr">
        <is>
          <t>Catálogos GE703 S6 / Modelo CRM_ERP Maestro</t>
        </is>
      </c>
      <c r="D9" s="25" t="inlineStr">
        <is>
          <t>2026-10</t>
        </is>
      </c>
      <c r="E9" s="25" t="inlineStr">
        <is>
          <t>Objetos y atributos de referencia</t>
        </is>
      </c>
      <c r="F9" s="25" t="inlineStr">
        <is>
          <t>Inspiración estructural</t>
        </is>
      </c>
      <c r="G9" s="25" t="inlineStr">
        <is>
          <t>Los valores del caso Andina son sintéticos</t>
        </is>
      </c>
    </row>
    <row r="10" ht="26.39999961853027" customHeight="1">
      <c r="A10" s="25" t="inlineStr">
        <is>
          <t>FS-01</t>
        </is>
      </c>
      <c r="B10" s="25" t="inlineStr">
        <is>
          <t>Simulación</t>
        </is>
      </c>
      <c r="C10" s="25" t="inlineStr">
        <is>
          <t>Caso ficticio elaborado para el proyecto MIGAL</t>
        </is>
      </c>
      <c r="D10" s="25" t="inlineStr">
        <is>
          <t>2026-10-16</t>
        </is>
      </c>
      <c r="E10" s="25" t="inlineStr">
        <is>
          <t>Nombres, DNI/RUC, teléfonos, obras, direcciones, marcas, especificaciones, precios e historias comerciales.</t>
        </is>
      </c>
      <c r="F10" s="25" t="inlineStr">
        <is>
          <t>Datos SIM del libro</t>
        </is>
      </c>
      <c r="G10" s="25" t="inlineStr">
        <is>
          <t>Creación sintética; no es levantamiento de clientes ni fuente de precios reales.</t>
        </is>
      </c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28" customWidth="1" min="1" max="1"/>
    <col width="38" customWidth="1" min="2" max="2"/>
    <col width="32" customWidth="1" min="3" max="3"/>
    <col width="18" customWidth="1" min="4" max="4"/>
  </cols>
  <sheetData>
    <row r="1" ht="24" customHeight="1">
      <c r="A1" s="7" t="inlineStr">
        <is>
          <t>Catálogos de apoyo propuestos</t>
        </is>
      </c>
      <c r="B1" s="1" t="n"/>
      <c r="C1" s="1" t="n"/>
      <c r="D1" s="1" t="n"/>
      <c r="E1" s="1" t="n"/>
      <c r="F1" s="1" t="n"/>
      <c r="G1" s="1" t="n"/>
      <c r="H1" s="1" t="n"/>
    </row>
    <row r="2"/>
    <row r="3"/>
    <row r="4">
      <c r="A4" s="18" t="inlineStr">
        <is>
          <t>catalogo</t>
        </is>
      </c>
      <c r="B4" s="18" t="inlineStr">
        <is>
          <t>valor</t>
        </is>
      </c>
      <c r="C4" s="18" t="inlineStr">
        <is>
          <t>uso</t>
        </is>
      </c>
      <c r="D4" s="18" t="inlineStr">
        <is>
          <t>clasificacion</t>
        </is>
      </c>
    </row>
    <row r="5">
      <c r="A5" s="25" t="inlineStr">
        <is>
          <t>Probabilidad</t>
        </is>
      </c>
      <c r="B5" s="25" t="inlineStr">
        <is>
          <t>Baja</t>
        </is>
      </c>
      <c r="C5" s="25" t="inlineStr">
        <is>
          <t>Oportunidades</t>
        </is>
      </c>
      <c r="D5" s="25" t="inlineStr">
        <is>
          <t>TO-BE</t>
        </is>
      </c>
    </row>
    <row r="6">
      <c r="A6" s="25" t="inlineStr">
        <is>
          <t>Probabilidad</t>
        </is>
      </c>
      <c r="B6" s="25" t="inlineStr">
        <is>
          <t>Media</t>
        </is>
      </c>
      <c r="C6" s="25" t="inlineStr">
        <is>
          <t>Oportunidades</t>
        </is>
      </c>
      <c r="D6" s="25" t="inlineStr">
        <is>
          <t>TO-BE</t>
        </is>
      </c>
    </row>
    <row r="7">
      <c r="A7" s="25" t="inlineStr">
        <is>
          <t>Probabilidad</t>
        </is>
      </c>
      <c r="B7" s="25" t="inlineStr">
        <is>
          <t>Alta</t>
        </is>
      </c>
      <c r="C7" s="25" t="inlineStr">
        <is>
          <t>Oportunidades</t>
        </is>
      </c>
      <c r="D7" s="25" t="inlineStr">
        <is>
          <t>TO-BE</t>
        </is>
      </c>
    </row>
    <row r="8">
      <c r="A8" s="25" t="inlineStr">
        <is>
          <t>Resultado</t>
        </is>
      </c>
      <c r="B8" s="25" t="inlineStr">
        <is>
          <t>Abierta</t>
        </is>
      </c>
      <c r="C8" s="25" t="inlineStr">
        <is>
          <t>Oportunidades</t>
        </is>
      </c>
      <c r="D8" s="25" t="inlineStr">
        <is>
          <t>TO-BE</t>
        </is>
      </c>
    </row>
    <row r="9">
      <c r="A9" s="25" t="inlineStr">
        <is>
          <t>Resultado</t>
        </is>
      </c>
      <c r="B9" s="25" t="inlineStr">
        <is>
          <t>Ganada total</t>
        </is>
      </c>
      <c r="C9" s="25" t="inlineStr">
        <is>
          <t>Oportunidades</t>
        </is>
      </c>
      <c r="D9" s="25" t="inlineStr">
        <is>
          <t>TO-BE</t>
        </is>
      </c>
    </row>
    <row r="10">
      <c r="A10" s="25" t="inlineStr">
        <is>
          <t>Resultado</t>
        </is>
      </c>
      <c r="B10" s="25" t="inlineStr">
        <is>
          <t>Ganada parcial</t>
        </is>
      </c>
      <c r="C10" s="25" t="inlineStr">
        <is>
          <t>Oportunidades</t>
        </is>
      </c>
      <c r="D10" s="25" t="inlineStr">
        <is>
          <t>I + TO-BE</t>
        </is>
      </c>
    </row>
    <row r="11">
      <c r="A11" s="25" t="inlineStr">
        <is>
          <t>Resultado</t>
        </is>
      </c>
      <c r="B11" s="25" t="inlineStr">
        <is>
          <t>Perdida</t>
        </is>
      </c>
      <c r="C11" s="25" t="inlineStr">
        <is>
          <t>Oportunidades</t>
        </is>
      </c>
      <c r="D11" s="25" t="inlineStr">
        <is>
          <t>TO-BE</t>
        </is>
      </c>
    </row>
    <row r="12">
      <c r="A12" s="25" t="inlineStr">
        <is>
          <t>Motivo no adjudicación</t>
        </is>
      </c>
      <c r="B12" s="25" t="inlineStr">
        <is>
          <t>Precio de competencia</t>
        </is>
      </c>
      <c r="C12" s="25" t="inlineStr">
        <is>
          <t>Pérdida total/parcial</t>
        </is>
      </c>
      <c r="D12" s="25" t="inlineStr">
        <is>
          <t>TO-BE</t>
        </is>
      </c>
    </row>
    <row r="13">
      <c r="A13" s="25" t="inlineStr">
        <is>
          <t>Motivo no adjudicación</t>
        </is>
      </c>
      <c r="B13" s="25" t="inlineStr">
        <is>
          <t>Falta de disponibilidad</t>
        </is>
      </c>
      <c r="C13" s="25" t="inlineStr">
        <is>
          <t>Pérdida total/parcial</t>
        </is>
      </c>
      <c r="D13" s="25" t="inlineStr">
        <is>
          <t>TO-BE</t>
        </is>
      </c>
    </row>
    <row r="14">
      <c r="A14" s="25" t="inlineStr">
        <is>
          <t>Motivo no adjudicación</t>
        </is>
      </c>
      <c r="B14" s="25" t="inlineStr">
        <is>
          <t>Flete/entrega no conveniente</t>
        </is>
      </c>
      <c r="C14" s="25" t="inlineStr">
        <is>
          <t>Pérdida total/parcial</t>
        </is>
      </c>
      <c r="D14" s="25" t="inlineStr">
        <is>
          <t>TO-BE</t>
        </is>
      </c>
    </row>
    <row r="15">
      <c r="A15" s="25" t="inlineStr">
        <is>
          <t>Motivo no adjudicación</t>
        </is>
      </c>
      <c r="B15" s="25" t="inlineStr">
        <is>
          <t>Crédito no concedido</t>
        </is>
      </c>
      <c r="C15" s="25" t="inlineStr">
        <is>
          <t>Pérdida total/parcial</t>
        </is>
      </c>
      <c r="D15" s="25" t="inlineStr">
        <is>
          <t>TO-BE</t>
        </is>
      </c>
    </row>
    <row r="16">
      <c r="A16" s="25" t="inlineStr">
        <is>
          <t>Motivo no adjudicación</t>
        </is>
      </c>
      <c r="B16" s="25" t="inlineStr">
        <is>
          <t>Necesidad cancelada o modificada</t>
        </is>
      </c>
      <c r="C16" s="25" t="inlineStr">
        <is>
          <t>Pérdida total/parcial</t>
        </is>
      </c>
      <c r="D16" s="25" t="inlineStr">
        <is>
          <t>TO-BE</t>
        </is>
      </c>
    </row>
    <row r="17">
      <c r="A17" s="25" t="inlineStr">
        <is>
          <t>Motivo no adjudicación</t>
        </is>
      </c>
      <c r="B17" s="25" t="inlineStr">
        <is>
          <t>Cliente sin respuesta</t>
        </is>
      </c>
      <c r="C17" s="25" t="inlineStr">
        <is>
          <t>Pérdida total/parcial</t>
        </is>
      </c>
      <c r="D17" s="25" t="inlineStr">
        <is>
          <t>TO-BE</t>
        </is>
      </c>
    </row>
    <row r="18">
      <c r="A18" s="25" t="inlineStr">
        <is>
          <t>Motivo no adjudicación</t>
        </is>
      </c>
      <c r="B18" s="25" t="inlineStr">
        <is>
          <t>Compra parcial en otra ferretería</t>
        </is>
      </c>
      <c r="C18" s="25" t="inlineStr">
        <is>
          <t>Pérdida parcial</t>
        </is>
      </c>
      <c r="D18" s="25" t="inlineStr">
        <is>
          <t>TO-BE</t>
        </is>
      </c>
    </row>
    <row r="19">
      <c r="A19" s="25" t="inlineStr">
        <is>
          <t>Motivo ajuste</t>
        </is>
      </c>
      <c r="B19" s="25" t="inlineStr">
        <is>
          <t>Competencia</t>
        </is>
      </c>
      <c r="C19" s="25" t="inlineStr">
        <is>
          <t>Cotización</t>
        </is>
      </c>
      <c r="D19" s="25" t="inlineStr">
        <is>
          <t>TO-BE</t>
        </is>
      </c>
    </row>
    <row r="20">
      <c r="A20" s="25" t="inlineStr">
        <is>
          <t>Motivo ajuste</t>
        </is>
      </c>
      <c r="B20" s="25" t="inlineStr">
        <is>
          <t>Volumen</t>
        </is>
      </c>
      <c r="C20" s="25" t="inlineStr">
        <is>
          <t>Cotización</t>
        </is>
      </c>
      <c r="D20" s="25" t="inlineStr">
        <is>
          <t>TO-BE</t>
        </is>
      </c>
    </row>
    <row r="21">
      <c r="A21" s="25" t="inlineStr">
        <is>
          <t>Motivo ajuste</t>
        </is>
      </c>
      <c r="B21" s="25" t="inlineStr">
        <is>
          <t>Relación comercial</t>
        </is>
      </c>
      <c r="C21" s="25" t="inlineStr">
        <is>
          <t>Cotización</t>
        </is>
      </c>
      <c r="D21" s="25" t="inlineStr">
        <is>
          <t>TO-BE</t>
        </is>
      </c>
    </row>
    <row r="22">
      <c r="A22" s="25" t="inlineStr">
        <is>
          <t>Motivo ajuste</t>
        </is>
      </c>
      <c r="B22" s="25" t="inlineStr">
        <is>
          <t>Condición de entrega</t>
        </is>
      </c>
      <c r="C22" s="25" t="inlineStr">
        <is>
          <t>Cotización</t>
        </is>
      </c>
      <c r="D22" s="25" t="inlineStr">
        <is>
          <t>TO-BE</t>
        </is>
      </c>
    </row>
    <row r="23">
      <c r="A23" s="25" t="inlineStr">
        <is>
          <t>Motivo ajuste</t>
        </is>
      </c>
      <c r="B23" s="25" t="inlineStr">
        <is>
          <t>Otro</t>
        </is>
      </c>
      <c r="C23" s="25" t="inlineStr">
        <is>
          <t>Cotización</t>
        </is>
      </c>
      <c r="D23" s="25" t="inlineStr">
        <is>
          <t>TO-BE</t>
        </is>
      </c>
    </row>
    <row r="24">
      <c r="A24" s="25" t="inlineStr">
        <is>
          <t>Canal</t>
        </is>
      </c>
      <c r="B24" s="25" t="inlineStr">
        <is>
          <t>Presencial</t>
        </is>
      </c>
      <c r="C24" s="25" t="inlineStr">
        <is>
          <t>Captación/interacción</t>
        </is>
      </c>
      <c r="D24" s="25" t="inlineStr">
        <is>
          <t>AS-IS</t>
        </is>
      </c>
    </row>
    <row r="25">
      <c r="A25" s="25" t="inlineStr">
        <is>
          <t>Canal</t>
        </is>
      </c>
      <c r="B25" s="25" t="inlineStr">
        <is>
          <t>WhatsApp</t>
        </is>
      </c>
      <c r="C25" s="25" t="inlineStr">
        <is>
          <t>Captación/interacción</t>
        </is>
      </c>
      <c r="D25" s="25" t="inlineStr">
        <is>
          <t>AS-IS</t>
        </is>
      </c>
    </row>
    <row r="26">
      <c r="A26" s="25" t="inlineStr">
        <is>
          <t>Canal</t>
        </is>
      </c>
      <c r="B26" s="25" t="inlineStr">
        <is>
          <t>Teléfono</t>
        </is>
      </c>
      <c r="C26" s="25" t="inlineStr">
        <is>
          <t>Captación/interacción</t>
        </is>
      </c>
      <c r="D26" s="25" t="inlineStr">
        <is>
          <t>AS-IS</t>
        </is>
      </c>
    </row>
    <row r="27">
      <c r="A27" s="25" t="inlineStr">
        <is>
          <t>Fuente</t>
        </is>
      </c>
      <c r="B27" s="25" t="inlineStr">
        <is>
          <t>Referido maestro</t>
        </is>
      </c>
      <c r="C27" s="25" t="inlineStr">
        <is>
          <t>Captación</t>
        </is>
      </c>
      <c r="D27" s="25" t="inlineStr">
        <is>
          <t>AS-IS</t>
        </is>
      </c>
    </row>
    <row r="28">
      <c r="A28" s="25" t="inlineStr">
        <is>
          <t>Fuente</t>
        </is>
      </c>
      <c r="B28" s="25" t="inlineStr">
        <is>
          <t>Referido cliente</t>
        </is>
      </c>
      <c r="C28" s="25" t="inlineStr">
        <is>
          <t>Captación</t>
        </is>
      </c>
      <c r="D28" s="25" t="inlineStr">
        <is>
          <t>AS-IS</t>
        </is>
      </c>
    </row>
    <row r="29">
      <c r="A29" s="25" t="inlineStr">
        <is>
          <t>Comprobante previsto</t>
        </is>
      </c>
      <c r="B29" s="25" t="inlineStr">
        <is>
          <t>Boleta</t>
        </is>
      </c>
      <c r="C29" s="25" t="inlineStr">
        <is>
          <t>Condición comercial</t>
        </is>
      </c>
      <c r="D29" s="25" t="inlineStr">
        <is>
          <t>TO-BE</t>
        </is>
      </c>
    </row>
    <row r="30">
      <c r="A30" s="25" t="inlineStr">
        <is>
          <t>Comprobante previsto</t>
        </is>
      </c>
      <c r="B30" s="25" t="inlineStr">
        <is>
          <t>Factura</t>
        </is>
      </c>
      <c r="C30" s="25" t="inlineStr">
        <is>
          <t>Condición comercial</t>
        </is>
      </c>
      <c r="D30" s="25" t="inlineStr">
        <is>
          <t>TO-BE</t>
        </is>
      </c>
    </row>
    <row r="31">
      <c r="A31" s="25" t="inlineStr">
        <is>
          <t>Comprobante previsto</t>
        </is>
      </c>
      <c r="B31" s="25" t="inlineStr">
        <is>
          <t>Por definir</t>
        </is>
      </c>
      <c r="C31" s="25" t="inlineStr">
        <is>
          <t>Condición comercial</t>
        </is>
      </c>
      <c r="D31" s="25" t="inlineStr">
        <is>
          <t>TO-BE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2026-10-17T09:05:20Z</dcterms:created>
  <dcterms:modified xmlns:dcterms="http://purl.org/dc/terms/" xmlns:xsi="http://www.w3.org/2001/XMLSchema-instance" xsi:type="dcterms:W3CDTF">2026-10-17T09:05:20Z</dcterms:modified>
</cp:coreProperties>
</file>
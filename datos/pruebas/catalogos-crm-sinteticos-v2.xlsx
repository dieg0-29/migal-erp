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c7bfbcb35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e9ab0d61fb39445d"/>
    <x:sheet xmlns:r="http://schemas.openxmlformats.org/officeDocument/2006/relationships" name="Resumen" sheetId="2" r:id="Rffd3c82b36ff4cd5"/>
    <x:sheet xmlns:r="http://schemas.openxmlformats.org/officeDocument/2006/relationships" name="Diccionario_CRM" sheetId="3" r:id="Ref9cf1f4342f48ff"/>
    <x:sheet xmlns:r="http://schemas.openxmlformats.org/officeDocument/2006/relationships" name="Clientes" sheetId="4" r:id="R6b28053d337a4843"/>
    <x:sheet xmlns:r="http://schemas.openxmlformats.org/officeDocument/2006/relationships" name="Contactos" sheetId="5" r:id="R628ba2a05e75486f"/>
    <x:sheet xmlns:r="http://schemas.openxmlformats.org/officeDocument/2006/relationships" name="Direcciones_Obra" sheetId="6" r:id="R6bc1810cc7e04b09"/>
    <x:sheet xmlns:r="http://schemas.openxmlformats.org/officeDocument/2006/relationships" name="Productos_Referencia" sheetId="7" r:id="R14745d4c8825497c"/>
    <x:sheet xmlns:r="http://schemas.openxmlformats.org/officeDocument/2006/relationships" name="Oportunidades" sheetId="8" r:id="R098faa482fdb4643"/>
    <x:sheet xmlns:r="http://schemas.openxmlformats.org/officeDocument/2006/relationships" name="Cotizaciones" sheetId="9" r:id="Rb5229e7fddd041c1"/>
    <x:sheet xmlns:r="http://schemas.openxmlformats.org/officeDocument/2006/relationships" name="Cotizaciones_Detalle" sheetId="10" r:id="R3742392a7a024c14"/>
    <x:sheet xmlns:r="http://schemas.openxmlformats.org/officeDocument/2006/relationships" name="Decisiones_Comerciales" sheetId="11" r:id="R461efd5707584a56"/>
    <x:sheet xmlns:r="http://schemas.openxmlformats.org/officeDocument/2006/relationships" name="Trazabilidad_Fuentes" sheetId="12" r:id="Rf72ac1f9474d4d7e"/>
    <x:sheet xmlns:r="http://schemas.openxmlformats.org/officeDocument/2006/relationships" name="Catalogos_Apoyo" sheetId="13" r:id="Rb6b4467f318e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S/ #,##0.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c7ddb4a88484c" /><Relationship Type="http://schemas.openxmlformats.org/officeDocument/2006/relationships/theme" Target="/xl/theme/theme1.xml" Id="R9f569ef08b1046f8" /><Relationship Type="http://schemas.openxmlformats.org/officeDocument/2006/relationships/sharedStrings" Target="/xl/sharedStrings.xml" Id="R7124dbf4c21346cd" /><Relationship Type="http://schemas.openxmlformats.org/officeDocument/2006/relationships/worksheet" Target="/xl/worksheets/sheet1.xml" Id="Re9ab0d61fb39445d" /><Relationship Type="http://schemas.openxmlformats.org/officeDocument/2006/relationships/worksheet" Target="/xl/worksheets/sheet2.xml" Id="Rffd3c82b36ff4cd5" /><Relationship Type="http://schemas.openxmlformats.org/officeDocument/2006/relationships/worksheet" Target="/xl/worksheets/sheet3.xml" Id="Ref9cf1f4342f48ff" /><Relationship Type="http://schemas.openxmlformats.org/officeDocument/2006/relationships/worksheet" Target="/xl/worksheets/sheet4.xml" Id="R6b28053d337a4843" /><Relationship Type="http://schemas.openxmlformats.org/officeDocument/2006/relationships/worksheet" Target="/xl/worksheets/sheet5.xml" Id="R628ba2a05e75486f" /><Relationship Type="http://schemas.openxmlformats.org/officeDocument/2006/relationships/worksheet" Target="/xl/worksheets/sheet6.xml" Id="R6bc1810cc7e04b09" /><Relationship Type="http://schemas.openxmlformats.org/officeDocument/2006/relationships/worksheet" Target="/xl/worksheets/sheet7.xml" Id="R14745d4c8825497c" /><Relationship Type="http://schemas.openxmlformats.org/officeDocument/2006/relationships/worksheet" Target="/xl/worksheets/sheet8.xml" Id="R098faa482fdb4643" /><Relationship Type="http://schemas.openxmlformats.org/officeDocument/2006/relationships/worksheet" Target="/xl/worksheets/sheet9.xml" Id="Rb5229e7fddd041c1" /><Relationship Type="http://schemas.openxmlformats.org/officeDocument/2006/relationships/worksheet" Target="/xl/worksheets/sheet10.xml" Id="R3742392a7a024c14" /><Relationship Type="http://schemas.openxmlformats.org/officeDocument/2006/relationships/worksheet" Target="/xl/worksheets/sheet11.xml" Id="R461efd5707584a56" /><Relationship Type="http://schemas.openxmlformats.org/officeDocument/2006/relationships/worksheet" Target="/xl/worksheets/sheet12.xml" Id="Rf72ac1f9474d4d7e" /><Relationship Type="http://schemas.openxmlformats.org/officeDocument/2006/relationships/worksheet" Target="/xl/worksheets/sheet13.xml" Id="Rb6b4467f318e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88" hidden="0" customWidth="1"/>
  </x:cols>
  <x:sheetData>
    <x:row r="1" ht="24" customHeight="1">
      <x:c r="A1" s="4" t="str">
        <x:v>MIGAL · PC2 v2.1 · Catálogos CRM adaptados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Workbook académico con datos sintéticos. No representa una base de datos productiva ni contiene datos reales de clientes.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Concepto</x:v>
      </x:c>
      <x:c r="B4" s="18" t="str">
        <x:v>Uso en este workbook</x:v>
      </x:c>
    </x:row>
    <x:row r="5">
      <x:c r="A5" s="25" t="str">
        <x:v>[E]</x:v>
      </x:c>
      <x:c r="B5" s="25" t="str">
        <x:v>Evidencia respaldada por levantamiento o fuente del negocio.</x:v>
      </x:c>
    </x:row>
    <x:row r="6">
      <x:c r="A6" s="25" t="str">
        <x:v>[I]</x:v>
      </x:c>
      <x:c r="B6" s="25" t="str">
        <x:v>Interpretación razonada a partir de evidencia.</x:v>
      </x:c>
    </x:row>
    <x:row r="7">
      <x:c r="A7" s="25" t="str">
        <x:v>[S]</x:v>
      </x:c>
      <x:c r="B7" s="25" t="str">
        <x:v>Supuesto provisional pendiente de validación.</x:v>
      </x:c>
    </x:row>
    <x:row r="8">
      <x:c r="A8" s="25" t="str">
        <x:v>[ND]</x:v>
      </x:c>
      <x:c r="B8" s="25" t="str">
        <x:v>No determinado: no existe información suficiente.</x:v>
      </x:c>
    </x:row>
    <x:row r="9">
      <x:c r="A9" s="25" t="str">
        <x:v>AS-IS</x:v>
      </x:c>
      <x:c r="B9" s="25" t="str">
        <x:v>Cómo funciona actualmente MIGAL.</x:v>
      </x:c>
    </x:row>
    <x:row r="10">
      <x:c r="A10" s="25" t="str">
        <x:v>TO-BE</x:v>
      </x:c>
      <x:c r="B10" s="25" t="str">
        <x:v>Mejora propuesta por el equipo.</x:v>
      </x:c>
    </x:row>
    <x:row r="11">
      <x:c r="A11" s="25" t="str">
        <x:v>[SIM]</x:v>
      </x:c>
      <x:c r="B11" s="25" t="str">
        <x:v>Dato ficticio usado solo para el caso académico.</x:v>
      </x:c>
    </x:row>
    <x:row r="12">
      <x:c r="A12" s="25" t="str">
        <x:v>Alcance PC2</x:v>
      </x:c>
      <x:c r="B12" s="25" t="str">
        <x:v>Cuenta, contacto, canal/fuente, interacción, oportunidad y cotización antes del pedido confirmado.</x:v>
      </x:c>
    </x:row>
    <x:row r="13">
      <x:c r="A13" s="25" t="str">
        <x:v>Fuera de alcance</x:v>
      </x:c>
      <x:c r="B13" s="25" t="str">
        <x:v>Contrato técnico CRM–ERP, ejecución del pedido, reserva de inventario, entrega, factura, pago y posventa.</x:v>
      </x:c>
    </x:row>
    <x:row r="14">
      <x:c r="A14" s="25" t="str">
        <x:v>Referencia docente</x:v>
      </x:c>
      <x:c r="B14" s="25" t="str">
        <x:v>Los catálogos GE703 S6 sirven como modelo conceptual. Sus valores y políticas del caso Andina no se copian como hechos de MIGAL.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70" hidden="0" customWidth="1"/>
  </x:cols>
  <x:sheetData>
    <x:row r="1" ht="24" customHeight="1">
      <x:c r="A1" s="4" t="str">
        <x:v>Resumen del caso sintético CRM de MIGAL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Indicadores calculados a partir de las hojas del workbook.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Indicador</x:v>
      </x:c>
      <x:c r="B4" s="18" t="str">
        <x:v>Valor</x:v>
      </x:c>
      <x:c r="C4" s="18" t="str">
        <x:v>Interpretación</x:v>
      </x:c>
    </x:row>
    <x:row r="5">
      <x:c r="A5" s="25" t="str">
        <x:v>Clientes sintéticos</x:v>
      </x:c>
      <x:c r="B5" s="25" t="n">
        <x:f>COUNTA(Clientes!A5:A100)</x:f>
        <x:v>12</x:v>
      </x:c>
      <x:c r="C5" s="25" t="str">
        <x:v>Cuentas usadas únicamente para ejemplificar el modelo CRM.</x:v>
      </x:c>
    </x:row>
    <x:row r="6">
      <x:c r="A6" s="25" t="str">
        <x:v>Contactos sintéticos</x:v>
      </x:c>
      <x:c r="B6" s="25" t="n">
        <x:f>COUNTA(Contactos!A5:A100)</x:f>
        <x:v>16</x:v>
      </x:c>
      <x:c r="C6" s="25" t="str">
        <x:v>Dueños, maestros, receptores y clientes asociados a cuentas.</x:v>
      </x:c>
    </x:row>
    <x:row r="7">
      <x:c r="A7" s="25" t="str">
        <x:v>Oportunidades</x:v>
      </x:c>
      <x:c r="B7" s="25" t="n">
        <x:f>COUNTA(Oportunidades!A5:A100)</x:f>
        <x:v>15</x:v>
      </x:c>
      <x:c r="C7" s="25" t="str">
        <x:v>Intereses comerciales con seguimiento.</x:v>
      </x:c>
    </x:row>
    <x:row r="8">
      <x:c r="A8" s="25" t="str">
        <x:v>Cotizaciones/versiones</x:v>
      </x:c>
      <x:c r="B8" s="25" t="n">
        <x:f>COUNTA(Cotizaciones!A5:A100)</x:f>
        <x:v>14</x:v>
      </x:c>
      <x:c r="C8" s="25" t="str">
        <x:v>Versiones emitidas para las oportunidades.</x:v>
      </x:c>
    </x:row>
    <x:row r="9">
      <x:c r="A9" s="25" t="str">
        <x:v>Oportunidades abiertas</x:v>
      </x:c>
      <x:c r="B9" s="25" t="n">
        <x:f>COUNTIF(Oportunidades!L5:L100,"Abierta")</x:f>
        <x:v>6</x:v>
      </x:c>
      <x:c r="C9" s="25" t="str">
        <x:v>Aún requieren seguimiento.</x:v>
      </x:c>
    </x:row>
    <x:row r="10">
      <x:c r="A10" s="25" t="str">
        <x:v>Ganadas totales</x:v>
      </x:c>
      <x:c r="B10" s="25" t="n">
        <x:f>COUNTIF(Oportunidades!L5:L100,"Ganada total")</x:f>
        <x:v>3</x:v>
      </x:c>
      <x:c r="C10" s="25" t="str">
        <x:v>Compra adjudicada completamente a MIGAL.</x:v>
      </x:c>
    </x:row>
    <x:row r="11">
      <x:c r="A11" s="25" t="str">
        <x:v>Ganadas parciales</x:v>
      </x:c>
      <x:c r="B11" s="25" t="n">
        <x:f>COUNTIF(Oportunidades!L5:L100,"Ganada parcial")</x:f>
        <x:v>3</x:v>
      </x:c>
      <x:c r="C11" s="25" t="str">
        <x:v>Parte de la compra se realiza en MIGAL y otra parte no.</x:v>
      </x:c>
    </x:row>
    <x:row r="12">
      <x:c r="A12" s="25" t="str">
        <x:v>Perdidas</x:v>
      </x:c>
      <x:c r="B12" s="25" t="n">
        <x:f>COUNTIF(Oportunidades!L5:L100,"Perdida")</x:f>
        <x:v>3</x:v>
      </x:c>
      <x:c r="C12" s="25" t="str">
        <x:v>No se concreta compra asociada a la oportunidad.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8" hidden="0" customWidth="1"/>
    <x:col min="4" max="4" width="18" hidden="0" customWidth="1"/>
    <x:col min="5" max="5" width="32" hidden="0" customWidth="1"/>
    <x:col min="6" max="6" width="24" hidden="0" customWidth="1"/>
    <x:col min="7" max="7" width="42" hidden="0" customWidth="1"/>
  </x:cols>
  <x:sheetData>
    <x:row r="1" ht="24" customHeight="1">
      <x:c r="A1" s="4" t="str">
        <x:v>Diccionario conceptual CRM adaptado a MIGAL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Objeto</x:v>
      </x:c>
      <x:c r="B4" s="18" t="str">
        <x:v>Campo propuesto</x:v>
      </x:c>
      <x:c r="C4" s="18" t="str">
        <x:v>Propósito</x:v>
      </x:c>
      <x:c r="D4" s="18" t="str">
        <x:v>Clasificación</x:v>
      </x:c>
      <x:c r="E4" s="18" t="str">
        <x:v>Origen</x:v>
      </x:c>
      <x:c r="F4" s="18" t="str">
        <x:v>Responsable</x:v>
      </x:c>
      <x:c r="G4" s="18" t="str">
        <x:v>Regla mínima</x:v>
      </x:c>
    </x:row>
    <x:row r="5">
      <x:c r="A5" s="25" t="str">
        <x:v>Cuenta</x:v>
      </x:c>
      <x:c r="B5" s="25" t="str">
        <x:v>id_cliente</x:v>
      </x:c>
      <x:c r="C5" s="25" t="str">
        <x:v>Identificar de forma única al cliente en el caso académico</x:v>
      </x:c>
      <x:c r="D5" s="25" t="str">
        <x:v>TO-BE</x:v>
      </x:c>
      <x:c r="E5" s="25" t="str">
        <x:v>Modelo docente + adaptación MIGAL</x:v>
      </x:c>
      <x:c r="F5" s="25" t="str">
        <x:v>Quien registra</x:v>
      </x:c>
      <x:c r="G5" s="25" t="str">
        <x:v>Único</x:v>
      </x:c>
    </x:row>
    <x:row r="6">
      <x:c r="A6" s="25" t="str">
        <x:v>Cuenta</x:v>
      </x:c>
      <x:c r="B6" s="25" t="str">
        <x:v>nombre_razon_social</x:v>
      </x:c>
      <x:c r="C6" s="25" t="str">
        <x:v>Reconocer al cliente o responsable económico</x:v>
      </x:c>
      <x:c r="D6" s="25" t="str">
        <x:v>TO-BE</x:v>
      </x:c>
      <x:c r="E6" s="25" t="str">
        <x:v>MIGAL</x:v>
      </x:c>
      <x:c r="F6" s="25" t="str">
        <x:v>Quien atiende</x:v>
      </x:c>
      <x:c r="G6" s="25" t="str">
        <x:v>Actualizar cuando el cliente comunique un cambio</x:v>
      </x:c>
    </x:row>
    <x:row r="7">
      <x:c r="A7" s="25" t="str">
        <x:v>Cuenta</x:v>
      </x:c>
      <x:c r="B7" s="25" t="str">
        <x:v>tipo_cliente</x:v>
      </x:c>
      <x:c r="C7" s="25" t="str">
        <x:v>Distinguir atención minorista, obra o empresa</x:v>
      </x:c>
      <x:c r="D7" s="25" t="str">
        <x:v>TO-BE</x:v>
      </x:c>
      <x:c r="E7" s="25" t="str">
        <x:v>MIGAL</x:v>
      </x:c>
      <x:c r="F7" s="25" t="str">
        <x:v>Quien atiende</x:v>
      </x:c>
      <x:c r="G7" s="25" t="str">
        <x:v>No usar segmentos industriales del caso docente</x:v>
      </x:c>
    </x:row>
    <x:row r="8">
      <x:c r="A8" s="25" t="str">
        <x:v>Cuenta</x:v>
      </x:c>
      <x:c r="B8" s="25" t="str">
        <x:v>documento_identidad</x:v>
      </x:c>
      <x:c r="C8" s="25" t="str">
        <x:v>DNI/RUC cuando sea pertinente</x:v>
      </x:c>
      <x:c r="D8" s="25" t="str">
        <x:v>TO-BE</x:v>
      </x:c>
      <x:c r="E8" s="25" t="str">
        <x:v>MIGAL</x:v>
      </x:c>
      <x:c r="F8" s="25" t="str">
        <x:v>Propietarios</x:v>
      </x:c>
      <x:c r="G8" s="25" t="str">
        <x:v>No exigir para todo lead/cotización</x:v>
      </x:c>
    </x:row>
    <x:row r="9">
      <x:c r="A9" s="25" t="str">
        <x:v>Cuenta</x:v>
      </x:c>
      <x:c r="B9" s="25" t="str">
        <x:v>estado_relacion</x:v>
      </x:c>
      <x:c r="C9" s="25" t="str">
        <x:v>Distinguir activo/inactivo</x:v>
      </x:c>
      <x:c r="D9" s="25" t="str">
        <x:v>TO-BE</x:v>
      </x:c>
      <x:c r="E9" s="25" t="str">
        <x:v>Modelo docente</x:v>
      </x:c>
      <x:c r="F9" s="25" t="str">
        <x:v>Quien atiende</x:v>
      </x:c>
      <x:c r="G9" s="25" t="str">
        <x:v>Mantener estado vigente</x:v>
      </x:c>
    </x:row>
    <x:row r="10">
      <x:c r="A10" s="25" t="str">
        <x:v>Contacto</x:v>
      </x:c>
      <x:c r="B10" s="25" t="str">
        <x:v>rol_contacto</x:v>
      </x:c>
      <x:c r="C10" s="25" t="str">
        <x:v>Distinguir dueño de obra, maestro, receptor u otro</x:v>
      </x:c>
      <x:c r="D10" s="25" t="str">
        <x:v>TO-BE</x:v>
      </x:c>
      <x:c r="E10" s="25" t="str">
        <x:v>MIGAL</x:v>
      </x:c>
      <x:c r="F10" s="25" t="str">
        <x:v>Quien atiende</x:v>
      </x:c>
      <x:c r="G10" s="25" t="str">
        <x:v>Reflejar rol real</x:v>
      </x:c>
    </x:row>
    <x:row r="11">
      <x:c r="A11" s="25" t="str">
        <x:v>Contacto</x:v>
      </x:c>
      <x:c r="B11" s="25" t="str">
        <x:v>telefono</x:v>
      </x:c>
      <x:c r="C11" s="25" t="str">
        <x:v>Permitir comunicación operativa</x:v>
      </x:c>
      <x:c r="D11" s="25" t="str">
        <x:v>AS-IS→TO-BE</x:v>
      </x:c>
      <x:c r="E11" s="25" t="str">
        <x:v>MIGAL</x:v>
      </x:c>
      <x:c r="F11" s="25" t="str">
        <x:v>Quien atiende</x:v>
      </x:c>
      <x:c r="G11" s="25" t="str">
        <x:v>No publicar números reales</x:v>
      </x:c>
    </x:row>
    <x:row r="12">
      <x:c r="A12" s="25" t="str">
        <x:v>Contacto</x:v>
      </x:c>
      <x:c r="B12" s="25" t="str">
        <x:v>canal_preferido</x:v>
      </x:c>
      <x:c r="C12" s="25" t="str">
        <x:v>Registrar medio habitual</x:v>
      </x:c>
      <x:c r="D12" s="25" t="str">
        <x:v>TO-BE</x:v>
      </x:c>
      <x:c r="E12" s="25" t="str">
        <x:v>Modelo docente</x:v>
      </x:c>
      <x:c r="F12" s="25" t="str">
        <x:v>Quien atiende</x:v>
      </x:c>
      <x:c r="G12" s="25" t="str">
        <x:v>Presencial/WhatsApp/Teléfono</x:v>
      </x:c>
    </x:row>
    <x:row r="13">
      <x:c r="A13" s="25" t="str">
        <x:v>Contacto</x:v>
      </x:c>
      <x:c r="B13" s="25" t="str">
        <x:v>consentimiento_promocional</x:v>
      </x:c>
      <x:c r="C13" s="25" t="str">
        <x:v>Separar marketing de atención operativa</x:v>
      </x:c>
      <x:c r="D13" s="25" t="str">
        <x:v>TO-BE</x:v>
      </x:c>
      <x:c r="E13" s="25" t="str">
        <x:v>Modelo docente + adaptación</x:v>
      </x:c>
      <x:c r="F13" s="25" t="str">
        <x:v>Propietarios</x:v>
      </x:c>
      <x:c r="G13" s="25" t="str">
        <x:v>No asumir consentimiento</x:v>
      </x:c>
    </x:row>
    <x:row r="14">
      <x:c r="A14" s="25" t="str">
        <x:v>Dirección</x:v>
      </x:c>
      <x:c r="B14" s="25" t="str">
        <x:v>nombre_obra</x:v>
      </x:c>
      <x:c r="C14" s="25" t="str">
        <x:v>Dar contexto al destino</x:v>
      </x:c>
      <x:c r="D14" s="25" t="str">
        <x:v>TO-BE</x:v>
      </x:c>
      <x:c r="E14" s="25" t="str">
        <x:v>MIGAL</x:v>
      </x:c>
      <x:c r="F14" s="25" t="str">
        <x:v>Quien atiende</x:v>
      </x:c>
      <x:c r="G14" s="25" t="str">
        <x:v>Opcional</x:v>
      </x:c>
    </x:row>
    <x:row r="15">
      <x:c r="A15" s="25" t="str">
        <x:v>Dirección</x:v>
      </x:c>
      <x:c r="B15" s="25" t="str">
        <x:v>direccion_ubicacion</x:v>
      </x:c>
      <x:c r="C15" s="25" t="str">
        <x:v>Guardar dirección, ubicación o referencia</x:v>
      </x:c>
      <x:c r="D15" s="25" t="str">
        <x:v>TO-BE</x:v>
      </x:c>
      <x:c r="E15" s="25" t="str">
        <x:v>MIGAL</x:v>
      </x:c>
      <x:c r="F15" s="25" t="str">
        <x:v>Quien coordina</x:v>
      </x:c>
      <x:c r="G15" s="25" t="str">
        <x:v>Actualizar si cambia</x:v>
      </x:c>
    </x:row>
    <x:row r="16">
      <x:c r="A16" s="25" t="str">
        <x:v>Oportunidad</x:v>
      </x:c>
      <x:c r="B16" s="25" t="str">
        <x:v>necesidad</x:v>
      </x:c>
      <x:c r="C16" s="25" t="str">
        <x:v>Resumir qué necesita el cliente</x:v>
      </x:c>
      <x:c r="D16" s="25" t="str">
        <x:v>TO-BE</x:v>
      </x:c>
      <x:c r="E16" s="25" t="str">
        <x:v>Modelo docente</x:v>
      </x:c>
      <x:c r="F16" s="25" t="str">
        <x:v>Quien atiende</x:v>
      </x:c>
      <x:c r="G16" s="25" t="str">
        <x:v>Descripción breve y entendible</x:v>
      </x:c>
    </x:row>
    <x:row r="17">
      <x:c r="A17" s="25" t="str">
        <x:v>Oportunidad</x:v>
      </x:c>
      <x:c r="B17" s="25" t="str">
        <x:v>origen</x:v>
      </x:c>
      <x:c r="C17" s="25" t="str">
        <x:v>Registrar cómo llegó el cliente</x:v>
      </x:c>
      <x:c r="D17" s="25" t="str">
        <x:v>TO-BE</x:v>
      </x:c>
      <x:c r="E17" s="25" t="str">
        <x:v>Modelo docente + MIGAL</x:v>
      </x:c>
      <x:c r="F17" s="25" t="str">
        <x:v>Quien atiende</x:v>
      </x:c>
      <x:c r="G17" s="25" t="str">
        <x:v>Presencial/WhatsApp/Teléfono/Referido</x:v>
      </x:c>
    </x:row>
    <x:row r="18">
      <x:c r="A18" s="25" t="str">
        <x:v>Oportunidad</x:v>
      </x:c>
      <x:c r="B18" s="25" t="str">
        <x:v>probabilidad</x:v>
      </x:c>
      <x:c r="C18" s="25" t="str">
        <x:v>Representar madurez comercial</x:v>
      </x:c>
      <x:c r="D18" s="25" t="str">
        <x:v>I + TO-BE</x:v>
      </x:c>
      <x:c r="E18" s="25" t="str">
        <x:v>Adaptación MIGAL</x:v>
      </x:c>
      <x:c r="F18" s="25" t="str">
        <x:v>Responsable comercial</x:v>
      </x:c>
      <x:c r="G18" s="25" t="str">
        <x:v>Baja/Media/Alta</x:v>
      </x:c>
    </x:row>
    <x:row r="19">
      <x:c r="A19" s="25" t="str">
        <x:v>Oportunidad</x:v>
      </x:c>
      <x:c r="B19" s="25" t="str">
        <x:v>competencia_referencia</x:v>
      </x:c>
      <x:c r="C19" s="25" t="str">
        <x:v>Registrar competencia si afecta la decisión</x:v>
      </x:c>
      <x:c r="D19" s="25" t="str">
        <x:v>TO-BE</x:v>
      </x:c>
      <x:c r="E19" s="25" t="str">
        <x:v>MIGAL</x:v>
      </x:c>
      <x:c r="F19" s="25" t="str">
        <x:v>Responsable comercial</x:v>
      </x:c>
      <x:c r="G19" s="25" t="str">
        <x:v>Puede quedar vacío</x:v>
      </x:c>
    </x:row>
    <x:row r="20">
      <x:c r="A20" s="25" t="str">
        <x:v>Oportunidad</x:v>
      </x:c>
      <x:c r="B20" s="25" t="str">
        <x:v>proxima_accion</x:v>
      </x:c>
      <x:c r="C20" s="25" t="str">
        <x:v>Evitar seguimiento pasivo</x:v>
      </x:c>
      <x:c r="D20" s="25" t="str">
        <x:v>TO-BE</x:v>
      </x:c>
      <x:c r="E20" s="25" t="str">
        <x:v>MIGAL</x:v>
      </x:c>
      <x:c r="F20" s="25" t="str">
        <x:v>Responsable comercial</x:v>
      </x:c>
      <x:c r="G20" s="25" t="str">
        <x:v>Acción concreta</x:v>
      </x:c>
    </x:row>
    <x:row r="21">
      <x:c r="A21" s="25" t="str">
        <x:v>Oportunidad</x:v>
      </x:c>
      <x:c r="B21" s="25" t="str">
        <x:v>resultado</x:v>
      </x:c>
      <x:c r="C21" s="25" t="str">
        <x:v>Resultado global de la oportunidad</x:v>
      </x:c>
      <x:c r="D21" s="25" t="str">
        <x:v>I + TO-BE</x:v>
      </x:c>
      <x:c r="E21" s="25" t="str">
        <x:v>Adaptación MIGAL</x:v>
      </x:c>
      <x:c r="F21" s="25" t="str">
        <x:v>Responsable comercial</x:v>
      </x:c>
      <x:c r="G21" s="25" t="str">
        <x:v>Abierta/Ganada total/Ganada parcial/Perdida</x:v>
      </x:c>
    </x:row>
    <x:row r="22">
      <x:c r="A22" s="25" t="str">
        <x:v>Oportunidad</x:v>
      </x:c>
      <x:c r="B22" s="25" t="str">
        <x:v>motivo_no_adjudicacion</x:v>
      </x:c>
      <x:c r="C22" s="25" t="str">
        <x:v>Explicar pérdida total o parcial</x:v>
      </x:c>
      <x:c r="D22" s="25" t="str">
        <x:v>TO-BE</x:v>
      </x:c>
      <x:c r="E22" s="25" t="str">
        <x:v>MIGAL</x:v>
      </x:c>
      <x:c r="F22" s="25" t="str">
        <x:v>Responsable comercial</x:v>
      </x:c>
      <x:c r="G22" s="25" t="str">
        <x:v>Obligatorio cuando corresponda</x:v>
      </x:c>
    </x:row>
    <x:row r="23">
      <x:c r="A23" s="25" t="str">
        <x:v>Cotización</x:v>
      </x:c>
      <x:c r="B23" s="25" t="str">
        <x:v>version</x:v>
      </x:c>
      <x:c r="C23" s="25" t="str">
        <x:v>Conservar cambios entre propuestas</x:v>
      </x:c>
      <x:c r="D23" s="25" t="str">
        <x:v>TO-BE</x:v>
      </x:c>
      <x:c r="E23" s="25" t="str">
        <x:v>Modelo docente</x:v>
      </x:c>
      <x:c r="F23" s="25" t="str">
        <x:v>Quien cotiza</x:v>
      </x:c>
      <x:c r="G23" s="25" t="str">
        <x:v>Entero positivo</x:v>
      </x:c>
    </x:row>
    <x:row r="24">
      <x:c r="A24" s="25" t="str">
        <x:v>Cotización</x:v>
      </x:c>
      <x:c r="B24" s="25" t="str">
        <x:v>criterio_vigencia</x:v>
      </x:c>
      <x:c r="C24" s="25" t="str">
        <x:v>Explicar que el precio puede cambiar antes del pago</x:v>
      </x:c>
      <x:c r="D24" s="25" t="str">
        <x:v>E + TO-BE</x:v>
      </x:c>
      <x:c r="E24" s="25" t="str">
        <x:v>MIGAL</x:v>
      </x:c>
      <x:c r="F24" s="25" t="str">
        <x:v>Quien cotiza</x:v>
      </x:c>
      <x:c r="G24" s="25" t="str">
        <x:v>No fijar 3 días como hecho</x:v>
      </x:c>
    </x:row>
    <x:row r="25">
      <x:c r="A25" s="25" t="str">
        <x:v>Cotización</x:v>
      </x:c>
      <x:c r="B25" s="25" t="str">
        <x:v>tipo_comprobante_previsto</x:v>
      </x:c>
      <x:c r="C25" s="25" t="str">
        <x:v>Registrar boleta/factura/por definir</x:v>
      </x:c>
      <x:c r="D25" s="25" t="str">
        <x:v>TO-BE</x:v>
      </x:c>
      <x:c r="E25" s="25" t="str">
        <x:v>MIGAL</x:v>
      </x:c>
      <x:c r="F25" s="25" t="str">
        <x:v>Propietarios</x:v>
      </x:c>
      <x:c r="G25" s="25" t="str">
        <x:v>Solo condición comercial</x:v>
      </x:c>
    </x:row>
    <x:row r="26">
      <x:c r="A26" s="25" t="str">
        <x:v>Detalle</x:v>
      </x:c>
      <x:c r="B26" s="25" t="str">
        <x:v>precio_referencia</x:v>
      </x:c>
      <x:c r="C26" s="25" t="str">
        <x:v>Precio tomado como base</x:v>
      </x:c>
      <x:c r="D26" s="25" t="str">
        <x:v>TO-BE</x:v>
      </x:c>
      <x:c r="E26" s="25" t="str">
        <x:v>MIGAL</x:v>
      </x:c>
      <x:c r="F26" s="25" t="str">
        <x:v>Propietarios</x:v>
      </x:c>
      <x:c r="G26" s="25" t="str">
        <x:v>Mayor que 0</x:v>
      </x:c>
    </x:row>
    <x:row r="27">
      <x:c r="A27" s="25" t="str">
        <x:v>Detalle</x:v>
      </x:c>
      <x:c r="B27" s="25" t="str">
        <x:v>precio_ofrecido</x:v>
      </x:c>
      <x:c r="C27" s="25" t="str">
        <x:v>Precio comunicado al cliente</x:v>
      </x:c>
      <x:c r="D27" s="25" t="str">
        <x:v>TO-BE</x:v>
      </x:c>
      <x:c r="E27" s="25" t="str">
        <x:v>MIGAL</x:v>
      </x:c>
      <x:c r="F27" s="25" t="str">
        <x:v>Quien cotiza</x:v>
      </x:c>
      <x:c r="G27" s="25" t="str">
        <x:v>Mayor que 0</x:v>
      </x:c>
    </x:row>
    <x:row r="28">
      <x:c r="A28" s="25" t="str">
        <x:v>Detalle</x:v>
      </x:c>
      <x:c r="B28" s="25" t="str">
        <x:v>motivo_ajuste</x:v>
      </x:c>
      <x:c r="C28" s="25" t="str">
        <x:v>Explicar una modificación de precio</x:v>
      </x:c>
      <x:c r="D28" s="25" t="str">
        <x:v>TO-BE</x:v>
      </x:c>
      <x:c r="E28" s="25" t="str">
        <x:v>MIGAL</x:v>
      </x:c>
      <x:c r="F28" s="25" t="str">
        <x:v>Quien cotiza</x:v>
      </x:c>
      <x:c r="G28" s="25" t="str">
        <x:v>Competencia/volumen/relación/entrega/otro</x:v>
      </x:c>
    </x:row>
    <x:row r="29">
      <x:c r="A29" s="25" t="str">
        <x:v>Detalle</x:v>
      </x:c>
      <x:c r="B29" s="25" t="str">
        <x:v>autorizado_por</x:v>
      </x:c>
      <x:c r="C29" s="25" t="str">
        <x:v>Registrar quién autorizó una excepción</x:v>
      </x:c>
      <x:c r="D29" s="25" t="str">
        <x:v>TO-BE</x:v>
      </x:c>
      <x:c r="E29" s="25" t="str">
        <x:v>MIGAL</x:v>
      </x:c>
      <x:c r="F29" s="25" t="str">
        <x:v>Propietarios</x:v>
      </x:c>
      <x:c r="G29" s="25" t="str">
        <x:v>No inventar jefaturas inexistentes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22" hidden="0" customWidth="1"/>
    <x:col min="5" max="5" width="16" hidden="0" customWidth="1"/>
    <x:col min="6" max="6" width="22" hidden="0" customWidth="1"/>
    <x:col min="7" max="7" width="22" hidden="0" customWidth="1"/>
    <x:col min="8" max="8" width="12" hidden="0" customWidth="1"/>
  </x:cols>
  <x:sheetData>
    <x:row r="1" ht="24" customHeight="1">
      <x:c r="A1" s="4" t="str">
        <x:v>Clientes / cuentas sintéticas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id_cliente</x:v>
      </x:c>
      <x:c r="B4" s="18" t="str">
        <x:v>nombre_razon_social</x:v>
      </x:c>
      <x:c r="C4" s="18" t="str">
        <x:v>tipo_cliente</x:v>
      </x:c>
      <x:c r="D4" s="18" t="str">
        <x:v>documento_identidad</x:v>
      </x:c>
      <x:c r="E4" s="18" t="str">
        <x:v>estado_relacion</x:v>
      </x:c>
      <x:c r="F4" s="18" t="str">
        <x:v>responsable_comercial</x:v>
      </x:c>
      <x:c r="G4" s="18" t="str">
        <x:v>origen_principal</x:v>
      </x:c>
      <x:c r="H4" s="18" t="str">
        <x:v>nota</x:v>
      </x:c>
    </x:row>
    <x:row r="5">
      <x:c r="A5" s="25" t="str">
        <x:v>CLI-SIM-001</x:v>
      </x:c>
      <x:c r="B5" s="25" t="str">
        <x:v>Cliente Obra Alfa</x:v>
      </x:c>
      <x:c r="C5" s="25" t="str">
        <x:v>Obra</x:v>
      </x:c>
      <x:c r="D5" s="25" t="str"/>
      <x:c r="E5" s="25" t="str">
        <x:v>Activa</x:v>
      </x:c>
      <x:c r="F5" s="25" t="str">
        <x:v>Propietaria</x:v>
      </x:c>
      <x:c r="G5" s="25" t="str">
        <x:v>Referido maestro</x:v>
      </x:c>
      <x:c r="H5" s="25" t="str">
        <x:v>SIM</x:v>
      </x:c>
    </x:row>
    <x:row r="6">
      <x:c r="A6" s="25" t="str">
        <x:v>CLI-SIM-002</x:v>
      </x:c>
      <x:c r="B6" s="25" t="str">
        <x:v>Cliente Obra Beta</x:v>
      </x:c>
      <x:c r="C6" s="25" t="str">
        <x:v>Obra</x:v>
      </x:c>
      <x:c r="D6" s="25" t="str"/>
      <x:c r="E6" s="25" t="str">
        <x:v>Activa</x:v>
      </x:c>
      <x:c r="F6" s="25" t="str">
        <x:v>Dueño</x:v>
      </x:c>
      <x:c r="G6" s="25" t="str">
        <x:v>WhatsApp</x:v>
      </x:c>
      <x:c r="H6" s="25" t="str">
        <x:v>SIM</x:v>
      </x:c>
    </x:row>
    <x:row r="7">
      <x:c r="A7" s="25" t="str">
        <x:v>CLI-SIM-003</x:v>
      </x:c>
      <x:c r="B7" s="25" t="str">
        <x:v>Cliente Obra Gamma</x:v>
      </x:c>
      <x:c r="C7" s="25" t="str">
        <x:v>Obra</x:v>
      </x:c>
      <x:c r="D7" s="25" t="str"/>
      <x:c r="E7" s="25" t="str">
        <x:v>Activa</x:v>
      </x:c>
      <x:c r="F7" s="25" t="str">
        <x:v>Propietaria</x:v>
      </x:c>
      <x:c r="G7" s="25" t="str">
        <x:v>Referido maestro</x:v>
      </x:c>
      <x:c r="H7" s="25" t="str">
        <x:v>SIM</x:v>
      </x:c>
    </x:row>
    <x:row r="8">
      <x:c r="A8" s="25" t="str">
        <x:v>CLI-SIM-004</x:v>
      </x:c>
      <x:c r="B8" s="25" t="str">
        <x:v>Cliente Particular Delta</x:v>
      </x:c>
      <x:c r="C8" s="25" t="str">
        <x:v>Particular</x:v>
      </x:c>
      <x:c r="D8" s="25" t="str"/>
      <x:c r="E8" s="25" t="str">
        <x:v>Activa</x:v>
      </x:c>
      <x:c r="F8" s="25" t="str">
        <x:v>Dueño</x:v>
      </x:c>
      <x:c r="G8" s="25" t="str">
        <x:v>Presencial</x:v>
      </x:c>
      <x:c r="H8" s="25" t="str">
        <x:v>SIM</x:v>
      </x:c>
    </x:row>
    <x:row r="9">
      <x:c r="A9" s="25" t="str">
        <x:v>CLI-SIM-005</x:v>
      </x:c>
      <x:c r="B9" s="25" t="str">
        <x:v>Cliente Particular Épsilon</x:v>
      </x:c>
      <x:c r="C9" s="25" t="str">
        <x:v>Particular</x:v>
      </x:c>
      <x:c r="D9" s="25" t="str"/>
      <x:c r="E9" s="25" t="str">
        <x:v>Activa</x:v>
      </x:c>
      <x:c r="F9" s="25" t="str">
        <x:v>Propietaria</x:v>
      </x:c>
      <x:c r="G9" s="25" t="str">
        <x:v>WhatsApp</x:v>
      </x:c>
      <x:c r="H9" s="25" t="str">
        <x:v>SIM</x:v>
      </x:c>
    </x:row>
    <x:row r="10">
      <x:c r="A10" s="25" t="str">
        <x:v>CLI-SIM-006</x:v>
      </x:c>
      <x:c r="B10" s="25" t="str">
        <x:v>Empresa Demo Zeta</x:v>
      </x:c>
      <x:c r="C10" s="25" t="str">
        <x:v>Empresa</x:v>
      </x:c>
      <x:c r="D10" s="25" t="str">
        <x:v>RUC-SIM-0006</x:v>
      </x:c>
      <x:c r="E10" s="25" t="str">
        <x:v>Activa</x:v>
      </x:c>
      <x:c r="F10" s="25" t="str">
        <x:v>Propietaria</x:v>
      </x:c>
      <x:c r="G10" s="25" t="str">
        <x:v>Referido</x:v>
      </x:c>
      <x:c r="H10" s="25" t="str">
        <x:v>SIM</x:v>
      </x:c>
    </x:row>
    <x:row r="11">
      <x:c r="A11" s="25" t="str">
        <x:v>CLI-SIM-007</x:v>
      </x:c>
      <x:c r="B11" s="25" t="str">
        <x:v>Cliente Obra Eta</x:v>
      </x:c>
      <x:c r="C11" s="25" t="str">
        <x:v>Obra</x:v>
      </x:c>
      <x:c r="D11" s="25" t="str"/>
      <x:c r="E11" s="25" t="str">
        <x:v>Activa</x:v>
      </x:c>
      <x:c r="F11" s="25" t="str">
        <x:v>Dueño</x:v>
      </x:c>
      <x:c r="G11" s="25" t="str">
        <x:v>Teléfono</x:v>
      </x:c>
      <x:c r="H11" s="25" t="str">
        <x:v>SIM</x:v>
      </x:c>
    </x:row>
    <x:row r="12">
      <x:c r="A12" s="25" t="str">
        <x:v>CLI-SIM-008</x:v>
      </x:c>
      <x:c r="B12" s="25" t="str">
        <x:v>Cliente Particular Theta</x:v>
      </x:c>
      <x:c r="C12" s="25" t="str">
        <x:v>Particular</x:v>
      </x:c>
      <x:c r="D12" s="25" t="str"/>
      <x:c r="E12" s="25" t="str">
        <x:v>Inactiva</x:v>
      </x:c>
      <x:c r="F12" s="25" t="str">
        <x:v>Propietaria</x:v>
      </x:c>
      <x:c r="G12" s="25" t="str">
        <x:v>Presencial</x:v>
      </x:c>
      <x:c r="H12" s="25" t="str">
        <x:v>SIM</x:v>
      </x:c>
    </x:row>
    <x:row r="13">
      <x:c r="A13" s="25" t="str">
        <x:v>CLI-SIM-009</x:v>
      </x:c>
      <x:c r="B13" s="25" t="str">
        <x:v>Cliente Obra Iota</x:v>
      </x:c>
      <x:c r="C13" s="25" t="str">
        <x:v>Obra</x:v>
      </x:c>
      <x:c r="D13" s="25" t="str"/>
      <x:c r="E13" s="25" t="str">
        <x:v>Activa</x:v>
      </x:c>
      <x:c r="F13" s="25" t="str">
        <x:v>Propietaria</x:v>
      </x:c>
      <x:c r="G13" s="25" t="str">
        <x:v>WhatsApp</x:v>
      </x:c>
      <x:c r="H13" s="25" t="str">
        <x:v>SIM</x:v>
      </x:c>
    </x:row>
    <x:row r="14">
      <x:c r="A14" s="25" t="str">
        <x:v>CLI-SIM-010</x:v>
      </x:c>
      <x:c r="B14" s="25" t="str">
        <x:v>Empresa Demo Kappa</x:v>
      </x:c>
      <x:c r="C14" s="25" t="str">
        <x:v>Empresa</x:v>
      </x:c>
      <x:c r="D14" s="25" t="str">
        <x:v>RUC-SIM-0010</x:v>
      </x:c>
      <x:c r="E14" s="25" t="str">
        <x:v>Activa</x:v>
      </x:c>
      <x:c r="F14" s="25" t="str">
        <x:v>Dueño</x:v>
      </x:c>
      <x:c r="G14" s="25" t="str">
        <x:v>WhatsApp</x:v>
      </x:c>
      <x:c r="H14" s="25" t="str">
        <x:v>SIM</x:v>
      </x:c>
    </x:row>
    <x:row r="15">
      <x:c r="A15" s="25" t="str">
        <x:v>CLI-SIM-011</x:v>
      </x:c>
      <x:c r="B15" s="25" t="str">
        <x:v>Cliente Particular Lambda</x:v>
      </x:c>
      <x:c r="C15" s="25" t="str">
        <x:v>Particular</x:v>
      </x:c>
      <x:c r="D15" s="25" t="str"/>
      <x:c r="E15" s="25" t="str">
        <x:v>Activa</x:v>
      </x:c>
      <x:c r="F15" s="25" t="str">
        <x:v>Dueño</x:v>
      </x:c>
      <x:c r="G15" s="25" t="str">
        <x:v>Presencial</x:v>
      </x:c>
      <x:c r="H15" s="25" t="str">
        <x:v>SIM</x:v>
      </x:c>
    </x:row>
    <x:row r="16">
      <x:c r="A16" s="25" t="str">
        <x:v>CLI-SIM-012</x:v>
      </x:c>
      <x:c r="B16" s="25" t="str">
        <x:v>Cliente Obra Mu</x:v>
      </x:c>
      <x:c r="C16" s="25" t="str">
        <x:v>Obra</x:v>
      </x:c>
      <x:c r="D16" s="25" t="str"/>
      <x:c r="E16" s="25" t="str">
        <x:v>Activa</x:v>
      </x:c>
      <x:c r="F16" s="25" t="str">
        <x:v>Propietaria</x:v>
      </x:c>
      <x:c r="G16" s="25" t="str">
        <x:v>Referido maestro</x:v>
      </x:c>
      <x:c r="H16" s="25" t="str">
        <x:v>SIM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2" hidden="0" customWidth="1"/>
    <x:col min="5" max="5" width="16" hidden="0" customWidth="1"/>
    <x:col min="6" max="6" width="18" hidden="0" customWidth="1"/>
    <x:col min="7" max="7" width="18" hidden="0" customWidth="1"/>
    <x:col min="8" max="8" width="28" hidden="0" customWidth="1"/>
    <x:col min="9" max="9" width="14" hidden="0" customWidth="1"/>
    <x:col min="10" max="10" width="12" hidden="0" customWidth="1"/>
  </x:cols>
  <x:sheetData>
    <x:row r="1" ht="24" customHeight="1">
      <x:c r="A1" s="4" t="str">
        <x:v>Contactos sintéticos vinculados a las cuentas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id_contacto</x:v>
      </x:c>
      <x:c r="B4" s="18" t="str">
        <x:v>id_cliente</x:v>
      </x:c>
      <x:c r="C4" s="18" t="str">
        <x:v>nombre_contacto</x:v>
      </x:c>
      <x:c r="D4" s="18" t="str">
        <x:v>rol_contacto</x:v>
      </x:c>
      <x:c r="E4" s="18" t="str">
        <x:v>telefono</x:v>
      </x:c>
      <x:c r="F4" s="18" t="str">
        <x:v>canal_preferido</x:v>
      </x:c>
      <x:c r="G4" s="18" t="str">
        <x:v>uso_operativo</x:v>
      </x:c>
      <x:c r="H4" s="18" t="str">
        <x:v>consentimiento_promocional</x:v>
      </x:c>
      <x:c r="I4" s="18" t="str">
        <x:v>estado</x:v>
      </x:c>
      <x:c r="J4" s="18" t="str">
        <x:v>nota</x:v>
      </x:c>
    </x:row>
    <x:row r="5">
      <x:c r="A5" s="25" t="str">
        <x:v>CON-SIM-001</x:v>
      </x:c>
      <x:c r="B5" s="25" t="str">
        <x:v>CLI-SIM-001</x:v>
      </x:c>
      <x:c r="C5" s="25" t="str">
        <x:v>Responsable Alfa</x:v>
      </x:c>
      <x:c r="D5" s="25" t="str">
        <x:v>Dueño de obra</x:v>
      </x:c>
      <x:c r="E5" s="25" t="str">
        <x:v>TEL-SIM-001</x:v>
      </x:c>
      <x:c r="F5" s="25" t="str">
        <x:v>WhatsApp</x:v>
      </x:c>
      <x:c r="G5" s="25" t="str">
        <x:v>Sí</x:v>
      </x:c>
      <x:c r="H5" s="25" t="str">
        <x:v>No determinado</x:v>
      </x:c>
      <x:c r="I5" s="25" t="str">
        <x:v>Activo</x:v>
      </x:c>
      <x:c r="J5" s="25" t="str">
        <x:v>SIM</x:v>
      </x:c>
    </x:row>
    <x:row r="6">
      <x:c r="A6" s="25" t="str">
        <x:v>CON-SIM-002</x:v>
      </x:c>
      <x:c r="B6" s="25" t="str">
        <x:v>CLI-SIM-001</x:v>
      </x:c>
      <x:c r="C6" s="25" t="str">
        <x:v>Maestro Alfa</x:v>
      </x:c>
      <x:c r="D6" s="25" t="str">
        <x:v>Maestro de obra</x:v>
      </x:c>
      <x:c r="E6" s="25" t="str">
        <x:v>TEL-SIM-002</x:v>
      </x:c>
      <x:c r="F6" s="25" t="str">
        <x:v>WhatsApp</x:v>
      </x:c>
      <x:c r="G6" s="25" t="str">
        <x:v>Sí</x:v>
      </x:c>
      <x:c r="H6" s="25" t="str">
        <x:v>No determinado</x:v>
      </x:c>
      <x:c r="I6" s="25" t="str">
        <x:v>Activo</x:v>
      </x:c>
      <x:c r="J6" s="25" t="str">
        <x:v>SIM</x:v>
      </x:c>
    </x:row>
    <x:row r="7">
      <x:c r="A7" s="25" t="str">
        <x:v>CON-SIM-003</x:v>
      </x:c>
      <x:c r="B7" s="25" t="str">
        <x:v>CLI-SIM-002</x:v>
      </x:c>
      <x:c r="C7" s="25" t="str">
        <x:v>Responsable Beta</x:v>
      </x:c>
      <x:c r="D7" s="25" t="str">
        <x:v>Dueño de obra</x:v>
      </x:c>
      <x:c r="E7" s="25" t="str">
        <x:v>TEL-SIM-003</x:v>
      </x:c>
      <x:c r="F7" s="25" t="str">
        <x:v>Teléfono</x:v>
      </x:c>
      <x:c r="G7" s="25" t="str">
        <x:v>Sí</x:v>
      </x:c>
      <x:c r="H7" s="25" t="str">
        <x:v>No determinado</x:v>
      </x:c>
      <x:c r="I7" s="25" t="str">
        <x:v>Activo</x:v>
      </x:c>
      <x:c r="J7" s="25" t="str">
        <x:v>SIM</x:v>
      </x:c>
    </x:row>
    <x:row r="8">
      <x:c r="A8" s="25" t="str">
        <x:v>CON-SIM-004</x:v>
      </x:c>
      <x:c r="B8" s="25" t="str">
        <x:v>CLI-SIM-002</x:v>
      </x:c>
      <x:c r="C8" s="25" t="str">
        <x:v>Maestro Beta</x:v>
      </x:c>
      <x:c r="D8" s="25" t="str">
        <x:v>Maestro de obra</x:v>
      </x:c>
      <x:c r="E8" s="25" t="str">
        <x:v>TEL-SIM-004</x:v>
      </x:c>
      <x:c r="F8" s="25" t="str">
        <x:v>WhatsApp</x:v>
      </x:c>
      <x:c r="G8" s="25" t="str">
        <x:v>Sí</x:v>
      </x:c>
      <x:c r="H8" s="25" t="str">
        <x:v>No determinado</x:v>
      </x:c>
      <x:c r="I8" s="25" t="str">
        <x:v>Activo</x:v>
      </x:c>
      <x:c r="J8" s="25" t="str">
        <x:v>SIM</x:v>
      </x:c>
    </x:row>
    <x:row r="9">
      <x:c r="A9" s="25" t="str">
        <x:v>CON-SIM-005</x:v>
      </x:c>
      <x:c r="B9" s="25" t="str">
        <x:v>CLI-SIM-003</x:v>
      </x:c>
      <x:c r="C9" s="25" t="str">
        <x:v>Maestro Gamma</x:v>
      </x:c>
      <x:c r="D9" s="25" t="str">
        <x:v>Maestro de obra</x:v>
      </x:c>
      <x:c r="E9" s="25" t="str">
        <x:v>TEL-SIM-005</x:v>
      </x:c>
      <x:c r="F9" s="25" t="str">
        <x:v>WhatsApp</x:v>
      </x:c>
      <x:c r="G9" s="25" t="str">
        <x:v>Sí</x:v>
      </x:c>
      <x:c r="H9" s="25" t="str">
        <x:v>No determinado</x:v>
      </x:c>
      <x:c r="I9" s="25" t="str">
        <x:v>Activo</x:v>
      </x:c>
      <x:c r="J9" s="25" t="str">
        <x:v>SIM</x:v>
      </x:c>
    </x:row>
    <x:row r="10">
      <x:c r="A10" s="25" t="str">
        <x:v>CON-SIM-006</x:v>
      </x:c>
      <x:c r="B10" s="25" t="str">
        <x:v>CLI-SIM-003</x:v>
      </x:c>
      <x:c r="C10" s="25" t="str">
        <x:v>Responsable Gamma</x:v>
      </x:c>
      <x:c r="D10" s="25" t="str">
        <x:v>Dueño de obra</x:v>
      </x:c>
      <x:c r="E10" s="25" t="str">
        <x:v>TEL-SIM-006</x:v>
      </x:c>
      <x:c r="F10" s="25" t="str">
        <x:v>WhatsApp</x:v>
      </x:c>
      <x:c r="G10" s="25" t="str">
        <x:v>Sí</x:v>
      </x:c>
      <x:c r="H10" s="25" t="str">
        <x:v>No determinado</x:v>
      </x:c>
      <x:c r="I10" s="25" t="str">
        <x:v>Activo</x:v>
      </x:c>
      <x:c r="J10" s="25" t="str">
        <x:v>SIM</x:v>
      </x:c>
    </x:row>
    <x:row r="11">
      <x:c r="A11" s="25" t="str">
        <x:v>CON-SIM-007</x:v>
      </x:c>
      <x:c r="B11" s="25" t="str">
        <x:v>CLI-SIM-004</x:v>
      </x:c>
      <x:c r="C11" s="25" t="str">
        <x:v>Cliente Delta</x:v>
      </x:c>
      <x:c r="D11" s="25" t="str">
        <x:v>Cliente</x:v>
      </x:c>
      <x:c r="E11" s="25" t="str">
        <x:v>TEL-SIM-007</x:v>
      </x:c>
      <x:c r="F11" s="25" t="str">
        <x:v>Presencial</x:v>
      </x:c>
      <x:c r="G11" s="25" t="str">
        <x:v>Sí</x:v>
      </x:c>
      <x:c r="H11" s="25" t="str">
        <x:v>No determinado</x:v>
      </x:c>
      <x:c r="I11" s="25" t="str">
        <x:v>Activo</x:v>
      </x:c>
      <x:c r="J11" s="25" t="str">
        <x:v>SIM</x:v>
      </x:c>
    </x:row>
    <x:row r="12">
      <x:c r="A12" s="25" t="str">
        <x:v>CON-SIM-008</x:v>
      </x:c>
      <x:c r="B12" s="25" t="str">
        <x:v>CLI-SIM-005</x:v>
      </x:c>
      <x:c r="C12" s="25" t="str">
        <x:v>Cliente Épsilon</x:v>
      </x:c>
      <x:c r="D12" s="25" t="str">
        <x:v>Cliente</x:v>
      </x:c>
      <x:c r="E12" s="25" t="str">
        <x:v>TEL-SIM-008</x:v>
      </x:c>
      <x:c r="F12" s="25" t="str">
        <x:v>WhatsApp</x:v>
      </x:c>
      <x:c r="G12" s="25" t="str">
        <x:v>Sí</x:v>
      </x:c>
      <x:c r="H12" s="25" t="str">
        <x:v>No determinado</x:v>
      </x:c>
      <x:c r="I12" s="25" t="str">
        <x:v>Activo</x:v>
      </x:c>
      <x:c r="J12" s="25" t="str">
        <x:v>SIM</x:v>
      </x:c>
    </x:row>
    <x:row r="13">
      <x:c r="A13" s="25" t="str">
        <x:v>CON-SIM-009</x:v>
      </x:c>
      <x:c r="B13" s="25" t="str">
        <x:v>CLI-SIM-006</x:v>
      </x:c>
      <x:c r="C13" s="25" t="str">
        <x:v>Contacto Zeta</x:v>
      </x:c>
      <x:c r="D13" s="25" t="str">
        <x:v>Representante</x:v>
      </x:c>
      <x:c r="E13" s="25" t="str">
        <x:v>TEL-SIM-009</x:v>
      </x:c>
      <x:c r="F13" s="25" t="str">
        <x:v>WhatsApp</x:v>
      </x:c>
      <x:c r="G13" s="25" t="str">
        <x:v>Sí</x:v>
      </x:c>
      <x:c r="H13" s="25" t="str">
        <x:v>No determinado</x:v>
      </x:c>
      <x:c r="I13" s="25" t="str">
        <x:v>Activo</x:v>
      </x:c>
      <x:c r="J13" s="25" t="str">
        <x:v>SIM</x:v>
      </x:c>
    </x:row>
    <x:row r="14">
      <x:c r="A14" s="25" t="str">
        <x:v>CON-SIM-010</x:v>
      </x:c>
      <x:c r="B14" s="25" t="str">
        <x:v>CLI-SIM-007</x:v>
      </x:c>
      <x:c r="C14" s="25" t="str">
        <x:v>Maestro Eta</x:v>
      </x:c>
      <x:c r="D14" s="25" t="str">
        <x:v>Maestro de obra</x:v>
      </x:c>
      <x:c r="E14" s="25" t="str">
        <x:v>TEL-SIM-010</x:v>
      </x:c>
      <x:c r="F14" s="25" t="str">
        <x:v>Teléfono</x:v>
      </x:c>
      <x:c r="G14" s="25" t="str">
        <x:v>Sí</x:v>
      </x:c>
      <x:c r="H14" s="25" t="str">
        <x:v>No determinado</x:v>
      </x:c>
      <x:c r="I14" s="25" t="str">
        <x:v>Activo</x:v>
      </x:c>
      <x:c r="J14" s="25" t="str">
        <x:v>SIM</x:v>
      </x:c>
    </x:row>
    <x:row r="15">
      <x:c r="A15" s="25" t="str">
        <x:v>CON-SIM-011</x:v>
      </x:c>
      <x:c r="B15" s="25" t="str">
        <x:v>CLI-SIM-009</x:v>
      </x:c>
      <x:c r="C15" s="25" t="str">
        <x:v>Responsable Iota</x:v>
      </x:c>
      <x:c r="D15" s="25" t="str">
        <x:v>Dueño de obra</x:v>
      </x:c>
      <x:c r="E15" s="25" t="str">
        <x:v>TEL-SIM-011</x:v>
      </x:c>
      <x:c r="F15" s="25" t="str">
        <x:v>WhatsApp</x:v>
      </x:c>
      <x:c r="G15" s="25" t="str">
        <x:v>Sí</x:v>
      </x:c>
      <x:c r="H15" s="25" t="str">
        <x:v>No determinado</x:v>
      </x:c>
      <x:c r="I15" s="25" t="str">
        <x:v>Activo</x:v>
      </x:c>
      <x:c r="J15" s="25" t="str">
        <x:v>SIM</x:v>
      </x:c>
    </x:row>
    <x:row r="16">
      <x:c r="A16" s="25" t="str">
        <x:v>CON-SIM-012</x:v>
      </x:c>
      <x:c r="B16" s="25" t="str">
        <x:v>CLI-SIM-009</x:v>
      </x:c>
      <x:c r="C16" s="25" t="str">
        <x:v>Maestro Iota</x:v>
      </x:c>
      <x:c r="D16" s="25" t="str">
        <x:v>Maestro de obra</x:v>
      </x:c>
      <x:c r="E16" s="25" t="str">
        <x:v>TEL-SIM-012</x:v>
      </x:c>
      <x:c r="F16" s="25" t="str">
        <x:v>WhatsApp</x:v>
      </x:c>
      <x:c r="G16" s="25" t="str">
        <x:v>Sí</x:v>
      </x:c>
      <x:c r="H16" s="25" t="str">
        <x:v>No determinado</x:v>
      </x:c>
      <x:c r="I16" s="25" t="str">
        <x:v>Activo</x:v>
      </x:c>
      <x:c r="J16" s="25" t="str">
        <x:v>SIM</x:v>
      </x:c>
    </x:row>
    <x:row r="17">
      <x:c r="A17" s="25" t="str">
        <x:v>CON-SIM-013</x:v>
      </x:c>
      <x:c r="B17" s="25" t="str">
        <x:v>CLI-SIM-010</x:v>
      </x:c>
      <x:c r="C17" s="25" t="str">
        <x:v>Contacto Kappa</x:v>
      </x:c>
      <x:c r="D17" s="25" t="str">
        <x:v>Representante</x:v>
      </x:c>
      <x:c r="E17" s="25" t="str">
        <x:v>TEL-SIM-013</x:v>
      </x:c>
      <x:c r="F17" s="25" t="str">
        <x:v>WhatsApp</x:v>
      </x:c>
      <x:c r="G17" s="25" t="str">
        <x:v>Sí</x:v>
      </x:c>
      <x:c r="H17" s="25" t="str">
        <x:v>No determinado</x:v>
      </x:c>
      <x:c r="I17" s="25" t="str">
        <x:v>Activo</x:v>
      </x:c>
      <x:c r="J17" s="25" t="str">
        <x:v>SIM</x:v>
      </x:c>
    </x:row>
    <x:row r="18">
      <x:c r="A18" s="25" t="str">
        <x:v>CON-SIM-014</x:v>
      </x:c>
      <x:c r="B18" s="25" t="str">
        <x:v>CLI-SIM-011</x:v>
      </x:c>
      <x:c r="C18" s="25" t="str">
        <x:v>Cliente Lambda</x:v>
      </x:c>
      <x:c r="D18" s="25" t="str">
        <x:v>Cliente</x:v>
      </x:c>
      <x:c r="E18" s="25" t="str">
        <x:v>TEL-SIM-014</x:v>
      </x:c>
      <x:c r="F18" s="25" t="str">
        <x:v>Presencial</x:v>
      </x:c>
      <x:c r="G18" s="25" t="str">
        <x:v>Sí</x:v>
      </x:c>
      <x:c r="H18" s="25" t="str">
        <x:v>No determinado</x:v>
      </x:c>
      <x:c r="I18" s="25" t="str">
        <x:v>Activo</x:v>
      </x:c>
      <x:c r="J18" s="25" t="str">
        <x:v>SIM</x:v>
      </x:c>
    </x:row>
    <x:row r="19">
      <x:c r="A19" s="25" t="str">
        <x:v>CON-SIM-015</x:v>
      </x:c>
      <x:c r="B19" s="25" t="str">
        <x:v>CLI-SIM-012</x:v>
      </x:c>
      <x:c r="C19" s="25" t="str">
        <x:v>Maestro Mu</x:v>
      </x:c>
      <x:c r="D19" s="25" t="str">
        <x:v>Maestro de obra</x:v>
      </x:c>
      <x:c r="E19" s="25" t="str">
        <x:v>TEL-SIM-015</x:v>
      </x:c>
      <x:c r="F19" s="25" t="str">
        <x:v>WhatsApp</x:v>
      </x:c>
      <x:c r="G19" s="25" t="str">
        <x:v>Sí</x:v>
      </x:c>
      <x:c r="H19" s="25" t="str">
        <x:v>No determinado</x:v>
      </x:c>
      <x:c r="I19" s="25" t="str">
        <x:v>Activo</x:v>
      </x:c>
      <x:c r="J19" s="25" t="str">
        <x:v>SIM</x:v>
      </x:c>
    </x:row>
    <x:row r="20">
      <x:c r="A20" s="25" t="str">
        <x:v>CON-SIM-016</x:v>
      </x:c>
      <x:c r="B20" s="25" t="str">
        <x:v>CLI-SIM-012</x:v>
      </x:c>
      <x:c r="C20" s="25" t="str">
        <x:v>Responsable Mu</x:v>
      </x:c>
      <x:c r="D20" s="25" t="str">
        <x:v>Dueño de obra</x:v>
      </x:c>
      <x:c r="E20" s="25" t="str">
        <x:v>TEL-SIM-016</x:v>
      </x:c>
      <x:c r="F20" s="25" t="str">
        <x:v>WhatsApp</x:v>
      </x:c>
      <x:c r="G20" s="25" t="str">
        <x:v>Sí</x:v>
      </x:c>
      <x:c r="H20" s="25" t="str">
        <x:v>No determinado</x:v>
      </x:c>
      <x:c r="I20" s="25" t="str">
        <x:v>Activo</x:v>
      </x:c>
      <x:c r="J20" s="25" t="str">
        <x:v>SIM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2" hidden="0" customWidth="1"/>
    <x:col min="5" max="5" width="24" hidden="0" customWidth="1"/>
    <x:col min="6" max="6" width="32" hidden="0" customWidth="1"/>
    <x:col min="7" max="7" width="14" hidden="0" customWidth="1"/>
    <x:col min="8" max="8" width="22" hidden="0" customWidth="1"/>
    <x:col min="9" max="9" width="12" hidden="0" customWidth="1"/>
  </x:cols>
  <x:sheetData>
    <x:row r="1" ht="24" customHeight="1">
      <x:c r="A1" s="4" t="str">
        <x:v>Direcciones / obras sintéticas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id_direccion</x:v>
      </x:c>
      <x:c r="B4" s="18" t="str">
        <x:v>id_cliente</x:v>
      </x:c>
      <x:c r="C4" s="18" t="str">
        <x:v>nombre_obra</x:v>
      </x:c>
      <x:c r="D4" s="18" t="str">
        <x:v>direccion_ubicacion</x:v>
      </x:c>
      <x:c r="E4" s="18" t="str">
        <x:v>distrito</x:v>
      </x:c>
      <x:c r="F4" s="18" t="str">
        <x:v>indicaciones</x:v>
      </x:c>
      <x:c r="G4" s="18" t="str">
        <x:v>estado</x:v>
      </x:c>
      <x:c r="H4" s="18" t="str">
        <x:v>fuente_direccion</x:v>
      </x:c>
      <x:c r="I4" s="18" t="str">
        <x:v>nota</x:v>
      </x:c>
    </x:row>
    <x:row r="5">
      <x:c r="A5" s="25" t="str">
        <x:v>DIR-SIM-001</x:v>
      </x:c>
      <x:c r="B5" s="25" t="str">
        <x:v>CLI-SIM-001</x:v>
      </x:c>
      <x:c r="C5" s="25" t="str">
        <x:v>Obra Alfa</x:v>
      </x:c>
      <x:c r="D5" s="25" t="str">
        <x:v>Ubicación simulada 001</x:v>
      </x:c>
      <x:c r="E5" s="25" t="str">
        <x:v>San Martín de Porres</x:v>
      </x:c>
      <x:c r="F5" s="25" t="str">
        <x:v>Referencia simulada A</x:v>
      </x:c>
      <x:c r="G5" s="25" t="str">
        <x:v>Activa</x:v>
      </x:c>
      <x:c r="H5" s="25" t="str">
        <x:v>WhatsApp</x:v>
      </x:c>
      <x:c r="I5" s="25" t="str">
        <x:v>SIM</x:v>
      </x:c>
    </x:row>
    <x:row r="6">
      <x:c r="A6" s="25" t="str">
        <x:v>DIR-SIM-002</x:v>
      </x:c>
      <x:c r="B6" s="25" t="str">
        <x:v>CLI-SIM-002</x:v>
      </x:c>
      <x:c r="C6" s="25" t="str">
        <x:v>Obra Beta</x:v>
      </x:c>
      <x:c r="D6" s="25" t="str">
        <x:v>Ubicación simulada 002</x:v>
      </x:c>
      <x:c r="E6" s="25" t="str">
        <x:v>Los Olivos</x:v>
      </x:c>
      <x:c r="F6" s="25" t="str">
        <x:v>Referencia simulada B</x:v>
      </x:c>
      <x:c r="G6" s="25" t="str">
        <x:v>Activa</x:v>
      </x:c>
      <x:c r="H6" s="25" t="str">
        <x:v>Ubicación compartida</x:v>
      </x:c>
      <x:c r="I6" s="25" t="str">
        <x:v>SIM</x:v>
      </x:c>
    </x:row>
    <x:row r="7">
      <x:c r="A7" s="25" t="str">
        <x:v>DIR-SIM-003</x:v>
      </x:c>
      <x:c r="B7" s="25" t="str">
        <x:v>CLI-SIM-003</x:v>
      </x:c>
      <x:c r="C7" s="25" t="str">
        <x:v>Obra Gamma</x:v>
      </x:c>
      <x:c r="D7" s="25" t="str">
        <x:v>Ubicación simulada 003</x:v>
      </x:c>
      <x:c r="E7" s="25" t="str">
        <x:v>Independencia</x:v>
      </x:c>
      <x:c r="F7" s="25" t="str">
        <x:v>Referencia simulada C</x:v>
      </x:c>
      <x:c r="G7" s="25" t="str">
        <x:v>Activa</x:v>
      </x:c>
      <x:c r="H7" s="25" t="str">
        <x:v>WhatsApp</x:v>
      </x:c>
      <x:c r="I7" s="25" t="str">
        <x:v>SIM</x:v>
      </x:c>
    </x:row>
    <x:row r="8">
      <x:c r="A8" s="25" t="str">
        <x:v>DIR-SIM-004</x:v>
      </x:c>
      <x:c r="B8" s="25" t="str">
        <x:v>CLI-SIM-006</x:v>
      </x:c>
      <x:c r="C8" s="25" t="str">
        <x:v>Proyecto Zeta</x:v>
      </x:c>
      <x:c r="D8" s="25" t="str">
        <x:v>Ubicación simulada 004</x:v>
      </x:c>
      <x:c r="E8" s="25" t="str">
        <x:v>San Martín de Porres</x:v>
      </x:c>
      <x:c r="F8" s="25" t="str">
        <x:v>Referencia simulada D</x:v>
      </x:c>
      <x:c r="G8" s="25" t="str">
        <x:v>Activa</x:v>
      </x:c>
      <x:c r="H8" s="25" t="str">
        <x:v>Texto</x:v>
      </x:c>
      <x:c r="I8" s="25" t="str">
        <x:v>SIM</x:v>
      </x:c>
    </x:row>
    <x:row r="9">
      <x:c r="A9" s="25" t="str">
        <x:v>DIR-SIM-005</x:v>
      </x:c>
      <x:c r="B9" s="25" t="str">
        <x:v>CLI-SIM-007</x:v>
      </x:c>
      <x:c r="C9" s="25" t="str">
        <x:v>Obra Eta</x:v>
      </x:c>
      <x:c r="D9" s="25" t="str">
        <x:v>Ubicación simulada 005</x:v>
      </x:c>
      <x:c r="E9" s="25" t="str">
        <x:v>Comas</x:v>
      </x:c>
      <x:c r="F9" s="25" t="str">
        <x:v>Referencia simulada E</x:v>
      </x:c>
      <x:c r="G9" s="25" t="str">
        <x:v>Activa</x:v>
      </x:c>
      <x:c r="H9" s="25" t="str">
        <x:v>Llamada</x:v>
      </x:c>
      <x:c r="I9" s="25" t="str">
        <x:v>SIM</x:v>
      </x:c>
    </x:row>
    <x:row r="10">
      <x:c r="A10" s="25" t="str">
        <x:v>DIR-SIM-006</x:v>
      </x:c>
      <x:c r="B10" s="25" t="str">
        <x:v>CLI-SIM-009</x:v>
      </x:c>
      <x:c r="C10" s="25" t="str">
        <x:v>Obra Iota</x:v>
      </x:c>
      <x:c r="D10" s="25" t="str">
        <x:v>Ubicación simulada 006</x:v>
      </x:c>
      <x:c r="E10" s="25" t="str">
        <x:v>Puente Piedra</x:v>
      </x:c>
      <x:c r="F10" s="25" t="str">
        <x:v>Referencia simulada F</x:v>
      </x:c>
      <x:c r="G10" s="25" t="str">
        <x:v>Activa</x:v>
      </x:c>
      <x:c r="H10" s="25" t="str">
        <x:v>Ubicación compartida</x:v>
      </x:c>
      <x:c r="I10" s="25" t="str">
        <x:v>SIM</x:v>
      </x:c>
    </x:row>
    <x:row r="11">
      <x:c r="A11" s="25" t="str">
        <x:v>DIR-SIM-007</x:v>
      </x:c>
      <x:c r="B11" s="25" t="str">
        <x:v>CLI-SIM-010</x:v>
      </x:c>
      <x:c r="C11" s="25" t="str">
        <x:v>Proyecto Kappa</x:v>
      </x:c>
      <x:c r="D11" s="25" t="str">
        <x:v>Ubicación simulada 007</x:v>
      </x:c>
      <x:c r="E11" s="25" t="str">
        <x:v>San Martín de Porres</x:v>
      </x:c>
      <x:c r="F11" s="25" t="str">
        <x:v>Referencia simulada G</x:v>
      </x:c>
      <x:c r="G11" s="25" t="str">
        <x:v>Activa</x:v>
      </x:c>
      <x:c r="H11" s="25" t="str">
        <x:v>WhatsApp</x:v>
      </x:c>
      <x:c r="I11" s="25" t="str">
        <x:v>SIM</x:v>
      </x:c>
    </x:row>
    <x:row r="12">
      <x:c r="A12" s="25" t="str">
        <x:v>DIR-SIM-008</x:v>
      </x:c>
      <x:c r="B12" s="25" t="str">
        <x:v>CLI-SIM-012</x:v>
      </x:c>
      <x:c r="C12" s="25" t="str">
        <x:v>Obra Mu</x:v>
      </x:c>
      <x:c r="D12" s="25" t="str">
        <x:v>Ubicación simulada 008</x:v>
      </x:c>
      <x:c r="E12" s="25" t="str">
        <x:v>Los Olivos</x:v>
      </x:c>
      <x:c r="F12" s="25" t="str">
        <x:v>Referencia simulada H</x:v>
      </x:c>
      <x:c r="G12" s="25" t="str">
        <x:v>Activa</x:v>
      </x:c>
      <x:c r="H12" s="25" t="str">
        <x:v>WhatsApp</x:v>
      </x:c>
      <x:c r="I12" s="25" t="str">
        <x:v>SIM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20" hidden="0" customWidth="1"/>
    <x:col min="5" max="5" width="18" hidden="0" customWidth="1"/>
    <x:col min="6" max="6" width="22" hidden="0" customWidth="1"/>
    <x:col min="7" max="7" width="14" hidden="0" customWidth="1"/>
    <x:col min="8" max="8" width="12" hidden="0" customWidth="1"/>
  </x:cols>
  <x:sheetData>
    <x:row r="1" ht="24" customHeight="1">
      <x:c r="A1" s="4" t="str">
        <x:v>Productos de referencia sintéticos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Las descripciones reflejan líneas reales del rubro; los códigos, marcas y precios usados en otros sheets son simulados.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id_producto</x:v>
      </x:c>
      <x:c r="B4" s="18" t="str">
        <x:v>descripcion</x:v>
      </x:c>
      <x:c r="C4" s="18" t="str">
        <x:v>marca</x:v>
      </x:c>
      <x:c r="D4" s="18" t="str">
        <x:v>presentacion</x:v>
      </x:c>
      <x:c r="E4" s="18" t="str">
        <x:v>unidad_medida</x:v>
      </x:c>
      <x:c r="F4" s="18" t="str">
        <x:v>categoria</x:v>
      </x:c>
      <x:c r="G4" s="18" t="str">
        <x:v>estado</x:v>
      </x:c>
      <x:c r="H4" s="18" t="str">
        <x:v>nota</x:v>
      </x:c>
    </x:row>
    <x:row r="5">
      <x:c r="A5" s="25" t="str">
        <x:v>PRD-SIM-001</x:v>
      </x:c>
      <x:c r="B5" s="25" t="str">
        <x:v>Cemento para construcción</x:v>
      </x:c>
      <x:c r="C5" s="25" t="str">
        <x:v>Marca demo A</x:v>
      </x:c>
      <x:c r="D5" s="25" t="str">
        <x:v>Bolsa</x:v>
      </x:c>
      <x:c r="E5" s="25" t="str">
        <x:v>bolsa</x:v>
      </x:c>
      <x:c r="F5" s="25" t="str">
        <x:v>Cemento</x:v>
      </x:c>
      <x:c r="G5" s="25" t="str">
        <x:v>Activo</x:v>
      </x:c>
      <x:c r="H5" s="25" t="str">
        <x:v>SIM</x:v>
      </x:c>
    </x:row>
    <x:row r="6">
      <x:c r="A6" s="25" t="str">
        <x:v>PRD-SIM-002</x:v>
      </x:c>
      <x:c r="B6" s="25" t="str">
        <x:v>Fierro de construcción</x:v>
      </x:c>
      <x:c r="C6" s="25" t="str">
        <x:v>Marca demo B</x:v>
      </x:c>
      <x:c r="D6" s="25" t="str">
        <x:v>Varilla demo</x:v>
      </x:c>
      <x:c r="E6" s="25" t="str">
        <x:v>unidad</x:v>
      </x:c>
      <x:c r="F6" s="25" t="str">
        <x:v>Fierro</x:v>
      </x:c>
      <x:c r="G6" s="25" t="str">
        <x:v>Activo</x:v>
      </x:c>
      <x:c r="H6" s="25" t="str">
        <x:v>SIM</x:v>
      </x:c>
    </x:row>
    <x:row r="7">
      <x:c r="A7" s="25" t="str">
        <x:v>PRD-SIM-003</x:v>
      </x:c>
      <x:c r="B7" s="25" t="str">
        <x:v>Tubería PVC agua fría</x:v>
      </x:c>
      <x:c r="C7" s="25" t="str">
        <x:v>Marca demo C</x:v>
      </x:c>
      <x:c r="D7" s="25" t="str">
        <x:v>1/2 pulg</x:v>
      </x:c>
      <x:c r="E7" s="25" t="str">
        <x:v>unidad</x:v>
      </x:c>
      <x:c r="F7" s="25" t="str">
        <x:v>Gasfitería</x:v>
      </x:c>
      <x:c r="G7" s="25" t="str">
        <x:v>Activo</x:v>
      </x:c>
      <x:c r="H7" s="25" t="str">
        <x:v>SIM</x:v>
      </x:c>
    </x:row>
    <x:row r="8">
      <x:c r="A8" s="25" t="str">
        <x:v>PRD-SIM-004</x:v>
      </x:c>
      <x:c r="B8" s="25" t="str">
        <x:v>Tubería PVC desagüe</x:v>
      </x:c>
      <x:c r="C8" s="25" t="str">
        <x:v>Marca demo C</x:v>
      </x:c>
      <x:c r="D8" s="25" t="str">
        <x:v>4 pulg</x:v>
      </x:c>
      <x:c r="E8" s="25" t="str">
        <x:v>unidad</x:v>
      </x:c>
      <x:c r="F8" s="25" t="str">
        <x:v>Gasfitería</x:v>
      </x:c>
      <x:c r="G8" s="25" t="str">
        <x:v>Activo</x:v>
      </x:c>
      <x:c r="H8" s="25" t="str">
        <x:v>SIM</x:v>
      </x:c>
    </x:row>
    <x:row r="9">
      <x:c r="A9" s="25" t="str">
        <x:v>PRD-SIM-005</x:v>
      </x:c>
      <x:c r="B9" s="25" t="str">
        <x:v>Arena gruesa</x:v>
      </x:c>
      <x:c r="C9" s="25" t="str">
        <x:v>Proveedor demo</x:v>
      </x:c>
      <x:c r="D9" s="25" t="str">
        <x:v>m3</x:v>
      </x:c>
      <x:c r="E9" s="25" t="str">
        <x:v>m3</x:v>
      </x:c>
      <x:c r="F9" s="25" t="str">
        <x:v>Agregados</x:v>
      </x:c>
      <x:c r="G9" s="25" t="str">
        <x:v>Activo</x:v>
      </x:c>
      <x:c r="H9" s="25" t="str">
        <x:v>SIM</x:v>
      </x:c>
    </x:row>
    <x:row r="10">
      <x:c r="A10" s="25" t="str">
        <x:v>PRD-SIM-006</x:v>
      </x:c>
      <x:c r="B10" s="25" t="str">
        <x:v>Arena fina</x:v>
      </x:c>
      <x:c r="C10" s="25" t="str">
        <x:v>Proveedor demo</x:v>
      </x:c>
      <x:c r="D10" s="25" t="str">
        <x:v>m3</x:v>
      </x:c>
      <x:c r="E10" s="25" t="str">
        <x:v>m3</x:v>
      </x:c>
      <x:c r="F10" s="25" t="str">
        <x:v>Agregados</x:v>
      </x:c>
      <x:c r="G10" s="25" t="str">
        <x:v>Activo</x:v>
      </x:c>
      <x:c r="H10" s="25" t="str">
        <x:v>SIM</x:v>
      </x:c>
    </x:row>
    <x:row r="11">
      <x:c r="A11" s="25" t="str">
        <x:v>PRD-SIM-007</x:v>
      </x:c>
      <x:c r="B11" s="25" t="str">
        <x:v>Piedra chancada</x:v>
      </x:c>
      <x:c r="C11" s="25" t="str">
        <x:v>Proveedor demo</x:v>
      </x:c>
      <x:c r="D11" s="25" t="str">
        <x:v>m3</x:v>
      </x:c>
      <x:c r="E11" s="25" t="str">
        <x:v>m3</x:v>
      </x:c>
      <x:c r="F11" s="25" t="str">
        <x:v>Agregados</x:v>
      </x:c>
      <x:c r="G11" s="25" t="str">
        <x:v>Activo</x:v>
      </x:c>
      <x:c r="H11" s="25" t="str">
        <x:v>SIM</x:v>
      </x:c>
    </x:row>
    <x:row r="12">
      <x:c r="A12" s="25" t="str">
        <x:v>PRD-SIM-008</x:v>
      </x:c>
      <x:c r="B12" s="25" t="str">
        <x:v>Ladrillo pandereta</x:v>
      </x:c>
      <x:c r="C12" s="25" t="str">
        <x:v>Marca demo D</x:v>
      </x:c>
      <x:c r="D12" s="25" t="str">
        <x:v>unidad</x:v>
      </x:c>
      <x:c r="E12" s="25" t="str">
        <x:v>unidad</x:v>
      </x:c>
      <x:c r="F12" s="25" t="str">
        <x:v>Albañilería</x:v>
      </x:c>
      <x:c r="G12" s="25" t="str">
        <x:v>Activo</x:v>
      </x:c>
      <x:c r="H12" s="25" t="str">
        <x:v>SIM</x:v>
      </x:c>
    </x:row>
    <x:row r="13">
      <x:c r="A13" s="25" t="str">
        <x:v>PRD-SIM-009</x:v>
      </x:c>
      <x:c r="B13" s="25" t="str">
        <x:v>Ladrillo techo</x:v>
      </x:c>
      <x:c r="C13" s="25" t="str">
        <x:v>Marca demo D</x:v>
      </x:c>
      <x:c r="D13" s="25" t="str">
        <x:v>unidad</x:v>
      </x:c>
      <x:c r="E13" s="25" t="str">
        <x:v>unidad</x:v>
      </x:c>
      <x:c r="F13" s="25" t="str">
        <x:v>Albañilería</x:v>
      </x:c>
      <x:c r="G13" s="25" t="str">
        <x:v>Activo</x:v>
      </x:c>
      <x:c r="H13" s="25" t="str">
        <x:v>SIM</x:v>
      </x:c>
    </x:row>
    <x:row r="14">
      <x:c r="A14" s="25" t="str">
        <x:v>PRD-SIM-010</x:v>
      </x:c>
      <x:c r="B14" s="25" t="str">
        <x:v>Cable eléctrico</x:v>
      </x:c>
      <x:c r="C14" s="25" t="str">
        <x:v>Marca demo E</x:v>
      </x:c>
      <x:c r="D14" s="25" t="str">
        <x:v>rollo</x:v>
      </x:c>
      <x:c r="E14" s="25" t="str">
        <x:v>rollo</x:v>
      </x:c>
      <x:c r="F14" s="25" t="str">
        <x:v>Eléctrico</x:v>
      </x:c>
      <x:c r="G14" s="25" t="str">
        <x:v>Activo</x:v>
      </x:c>
      <x:c r="H14" s="25" t="str">
        <x:v>SIM</x:v>
      </x:c>
    </x:row>
    <x:row r="15">
      <x:c r="A15" s="25" t="str">
        <x:v>PRD-SIM-011</x:v>
      </x:c>
      <x:c r="B15" s="25" t="str">
        <x:v>Tomacorriente</x:v>
      </x:c>
      <x:c r="C15" s="25" t="str">
        <x:v>Marca demo E</x:v>
      </x:c>
      <x:c r="D15" s="25" t="str">
        <x:v>unidad</x:v>
      </x:c>
      <x:c r="E15" s="25" t="str">
        <x:v>unidad</x:v>
      </x:c>
      <x:c r="F15" s="25" t="str">
        <x:v>Eléctrico</x:v>
      </x:c>
      <x:c r="G15" s="25" t="str">
        <x:v>Activo</x:v>
      </x:c>
      <x:c r="H15" s="25" t="str">
        <x:v>SIM</x:v>
      </x:c>
    </x:row>
    <x:row r="16">
      <x:c r="A16" s="25" t="str">
        <x:v>PRD-SIM-012</x:v>
      </x:c>
      <x:c r="B16" s="25" t="str">
        <x:v>Pintura látex</x:v>
      </x:c>
      <x:c r="C16" s="25" t="str">
        <x:v>Marca demo F</x:v>
      </x:c>
      <x:c r="D16" s="25" t="str">
        <x:v>galón</x:v>
      </x:c>
      <x:c r="E16" s="25" t="str">
        <x:v>galón</x:v>
      </x:c>
      <x:c r="F16" s="25" t="str">
        <x:v>Pinturas</x:v>
      </x:c>
      <x:c r="G16" s="25" t="str">
        <x:v>Activo</x:v>
      </x:c>
      <x:c r="H16" s="25" t="str">
        <x:v>SIM</x:v>
      </x:c>
    </x:row>
    <x:row r="17">
      <x:c r="A17" s="25" t="str">
        <x:v>PRD-SIM-013</x:v>
      </x:c>
      <x:c r="B17" s="25" t="str">
        <x:v>Brocha</x:v>
      </x:c>
      <x:c r="C17" s="25" t="str">
        <x:v>Marca demo F</x:v>
      </x:c>
      <x:c r="D17" s="25" t="str">
        <x:v>3 pulg</x:v>
      </x:c>
      <x:c r="E17" s="25" t="str">
        <x:v>unidad</x:v>
      </x:c>
      <x:c r="F17" s="25" t="str">
        <x:v>Pinturas</x:v>
      </x:c>
      <x:c r="G17" s="25" t="str">
        <x:v>Activo</x:v>
      </x:c>
      <x:c r="H17" s="25" t="str">
        <x:v>SIM</x:v>
      </x:c>
    </x:row>
    <x:row r="18">
      <x:c r="A18" s="25" t="str">
        <x:v>PRD-SIM-014</x:v>
      </x:c>
      <x:c r="B18" s="25" t="str">
        <x:v>Disco de corte</x:v>
      </x:c>
      <x:c r="C18" s="25" t="str">
        <x:v>Marca demo G</x:v>
      </x:c>
      <x:c r="D18" s="25" t="str">
        <x:v>4.5 pulg</x:v>
      </x:c>
      <x:c r="E18" s="25" t="str">
        <x:v>unidad</x:v>
      </x:c>
      <x:c r="F18" s="25" t="str">
        <x:v>Herramientas</x:v>
      </x:c>
      <x:c r="G18" s="25" t="str">
        <x:v>Activo</x:v>
      </x:c>
      <x:c r="H18" s="25" t="str">
        <x:v>SIM</x:v>
      </x:c>
    </x:row>
    <x:row r="19">
      <x:c r="A19" s="25" t="str">
        <x:v>PRD-SIM-015</x:v>
      </x:c>
      <x:c r="B19" s="25" t="str">
        <x:v>Destornillador</x:v>
      </x:c>
      <x:c r="C19" s="25" t="str">
        <x:v>Marca demo G</x:v>
      </x:c>
      <x:c r="D19" s="25" t="str">
        <x:v>unidad</x:v>
      </x:c>
      <x:c r="E19" s="25" t="str">
        <x:v>unidad</x:v>
      </x:c>
      <x:c r="F19" s="25" t="str">
        <x:v>Herramientas</x:v>
      </x:c>
      <x:c r="G19" s="25" t="str">
        <x:v>Activo</x:v>
      </x:c>
      <x:c r="H19" s="25" t="str">
        <x:v>SIM</x:v>
      </x:c>
    </x:row>
    <x:row r="20">
      <x:c r="A20" s="25" t="str">
        <x:v>PRD-SIM-016</x:v>
      </x:c>
      <x:c r="B20" s="25" t="str">
        <x:v>Clavos</x:v>
      </x:c>
      <x:c r="C20" s="25" t="str">
        <x:v>Marca demo H</x:v>
      </x:c>
      <x:c r="D20" s="25" t="str">
        <x:v>kg</x:v>
      </x:c>
      <x:c r="E20" s="25" t="str">
        <x:v>kg</x:v>
      </x:c>
      <x:c r="F20" s="25" t="str">
        <x:v>Ferretería general</x:v>
      </x:c>
      <x:c r="G20" s="25" t="str">
        <x:v>Activo</x:v>
      </x:c>
      <x:c r="H20" s="25" t="str">
        <x:v>SIM</x:v>
      </x:c>
    </x:row>
    <x:row r="21">
      <x:c r="A21" s="25" t="str">
        <x:v>PRD-SIM-017</x:v>
      </x:c>
      <x:c r="B21" s="25" t="str">
        <x:v>Tornillos</x:v>
      </x:c>
      <x:c r="C21" s="25" t="str">
        <x:v>Marca demo H</x:v>
      </x:c>
      <x:c r="D21" s="25" t="str">
        <x:v>caja</x:v>
      </x:c>
      <x:c r="E21" s="25" t="str">
        <x:v>caja</x:v>
      </x:c>
      <x:c r="F21" s="25" t="str">
        <x:v>Ferretería general</x:v>
      </x:c>
      <x:c r="G21" s="25" t="str">
        <x:v>Activo</x:v>
      </x:c>
      <x:c r="H21" s="25" t="str">
        <x:v>SIM</x:v>
      </x:c>
    </x:row>
    <x:row r="22">
      <x:c r="A22" s="25" t="str">
        <x:v>PRD-SIM-018</x:v>
      </x:c>
      <x:c r="B22" s="25" t="str">
        <x:v>Guantes de construcción</x:v>
      </x:c>
      <x:c r="C22" s="25" t="str">
        <x:v>Marca demo I</x:v>
      </x:c>
      <x:c r="D22" s="25" t="str">
        <x:v>par</x:v>
      </x:c>
      <x:c r="E22" s="25" t="str">
        <x:v>par</x:v>
      </x:c>
      <x:c r="F22" s="25" t="str">
        <x:v>Seguridad</x:v>
      </x:c>
      <x:c r="G22" s="25" t="str">
        <x:v>Activo</x:v>
      </x:c>
      <x:c r="H22" s="25" t="str">
        <x:v>SIM</x:v>
      </x:c>
    </x:row>
    <x:row r="23">
      <x:c r="A23" s="25" t="str">
        <x:v>PRD-SIM-019</x:v>
      </x:c>
      <x:c r="B23" s="25" t="str">
        <x:v>Tanque de agua</x:v>
      </x:c>
      <x:c r="C23" s="25" t="str">
        <x:v>Marca demo J</x:v>
      </x:c>
      <x:c r="D23" s="25" t="str">
        <x:v>1100 L</x:v>
      </x:c>
      <x:c r="E23" s="25" t="str">
        <x:v>unidad</x:v>
      </x:c>
      <x:c r="F23" s="25" t="str">
        <x:v>Gasfitería</x:v>
      </x:c>
      <x:c r="G23" s="25" t="str">
        <x:v>Activo</x:v>
      </x:c>
      <x:c r="H23" s="25" t="str">
        <x:v>SIM</x:v>
      </x:c>
    </x:row>
    <x:row r="24">
      <x:c r="A24" s="25" t="str">
        <x:v>PRD-SIM-020</x:v>
      </x:c>
      <x:c r="B24" s="25" t="str">
        <x:v>Pegamento PVC</x:v>
      </x:c>
      <x:c r="C24" s="25" t="str">
        <x:v>Marca demo C</x:v>
      </x:c>
      <x:c r="D24" s="25" t="str">
        <x:v>frasco</x:v>
      </x:c>
      <x:c r="E24" s="25" t="str">
        <x:v>unidad</x:v>
      </x:c>
      <x:c r="F24" s="25" t="str">
        <x:v>Gasfitería</x:v>
      </x:c>
      <x:c r="G24" s="25" t="str">
        <x:v>Activo</x:v>
      </x:c>
      <x:c r="H24" s="25" t="str">
        <x:v>SIM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20" hidden="0" customWidth="1"/>
    <x:col min="6" max="6" width="18" hidden="0" customWidth="1"/>
    <x:col min="7" max="7" width="16" hidden="0" customWidth="1"/>
    <x:col min="8" max="8" width="24" hidden="0" customWidth="1"/>
    <x:col min="9" max="9" width="38" hidden="0" customWidth="1"/>
    <x:col min="10" max="10" width="20" hidden="0" customWidth="1"/>
    <x:col min="11" max="11" width="18" hidden="0" customWidth="1"/>
    <x:col min="12" max="12" width="20" hidden="0" customWidth="1"/>
    <x:col min="13" max="13" width="34" hidden="0" customWidth="1"/>
    <x:col min="14" max="14" width="12" hidden="0" customWidth="1"/>
  </x:cols>
  <x:sheetData>
    <x:row r="1" ht="24" customHeight="1">
      <x:c r="A1" s="4" t="str">
        <x:v>Oportunidades comerciales sintéticas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id_oportunidad</x:v>
      </x:c>
      <x:c r="B4" s="18" t="str">
        <x:v>id_cliente</x:v>
      </x:c>
      <x:c r="C4" s="18" t="str">
        <x:v>id_contacto</x:v>
      </x:c>
      <x:c r="D4" s="18" t="str">
        <x:v>necesidad</x:v>
      </x:c>
      <x:c r="E4" s="18" t="str">
        <x:v>origen</x:v>
      </x:c>
      <x:c r="F4" s="18" t="str">
        <x:v>etapa</x:v>
      </x:c>
      <x:c r="G4" s="18" t="str">
        <x:v>probabilidad</x:v>
      </x:c>
      <x:c r="H4" s="18" t="str">
        <x:v>competencia_referencia</x:v>
      </x:c>
      <x:c r="I4" s="18" t="str">
        <x:v>proxima_accion</x:v>
      </x:c>
      <x:c r="J4" s="18" t="str">
        <x:v>fecha_proxima_accion</x:v>
      </x:c>
      <x:c r="K4" s="18" t="str">
        <x:v>responsable</x:v>
      </x:c>
      <x:c r="L4" s="18" t="str">
        <x:v>resultado</x:v>
      </x:c>
      <x:c r="M4" s="18" t="str">
        <x:v>motivo_no_adjudicacion</x:v>
      </x:c>
      <x:c r="N4" s="18" t="str">
        <x:v>nota</x:v>
      </x:c>
    </x:row>
    <x:row r="5">
      <x:c r="A5" s="25" t="str">
        <x:v>OPP-SIM-001</x:v>
      </x:c>
      <x:c r="B5" s="25" t="str">
        <x:v>CLI-SIM-001</x:v>
      </x:c>
      <x:c r="C5" s="25" t="str">
        <x:v>CON-SIM-002</x:v>
      </x:c>
      <x:c r="D5" s="25" t="str">
        <x:v>Lista completa para obra</x:v>
      </x:c>
      <x:c r="E5" s="25" t="str">
        <x:v>Referido maestro</x:v>
      </x:c>
      <x:c r="F5" s="25" t="str">
        <x:v>Cotización</x:v>
      </x:c>
      <x:c r="G5" s="25" t="str">
        <x:v>Alta</x:v>
      </x:c>
      <x:c r="H5" s="25" t="str">
        <x:v>Sí</x:v>
      </x:c>
      <x:c r="I5" s="25" t="str">
        <x:v>Confirmar aprobación del responsable</x:v>
      </x:c>
      <x:c r="J5" s="28" t="n">
        <x:v>46312</x:v>
      </x:c>
      <x:c r="K5" s="25" t="str">
        <x:v>Propietaria</x:v>
      </x:c>
      <x:c r="L5" s="25" t="str">
        <x:v>Abierta</x:v>
      </x:c>
      <x:c r="M5" s="25" t="str"/>
      <x:c r="N5" s="25" t="str">
        <x:v>SIM</x:v>
      </x:c>
    </x:row>
    <x:row r="6">
      <x:c r="A6" s="25" t="str">
        <x:v>OPP-SIM-002</x:v>
      </x:c>
      <x:c r="B6" s="25" t="str">
        <x:v>CLI-SIM-002</x:v>
      </x:c>
      <x:c r="C6" s="25" t="str">
        <x:v>CON-SIM-004</x:v>
      </x:c>
      <x:c r="D6" s="25" t="str">
        <x:v>Cemento y fierro para avance de obra</x:v>
      </x:c>
      <x:c r="E6" s="25" t="str">
        <x:v>WhatsApp</x:v>
      </x:c>
      <x:c r="F6" s="25" t="str">
        <x:v>Cotización</x:v>
      </x:c>
      <x:c r="G6" s="25" t="str">
        <x:v>Alta</x:v>
      </x:c>
      <x:c r="H6" s="25" t="str">
        <x:v>Sí</x:v>
      </x:c>
      <x:c r="I6" s="25" t="str">
        <x:v>Actualizar precio del fierro</x:v>
      </x:c>
      <x:c r="J6" s="28" t="n">
        <x:v>46312</x:v>
      </x:c>
      <x:c r="K6" s="25" t="str">
        <x:v>Dueño</x:v>
      </x:c>
      <x:c r="L6" s="25" t="str">
        <x:v>Ganada parcial</x:v>
      </x:c>
      <x:c r="M6" s="25" t="str">
        <x:v>Precio de competencia en fierro</x:v>
      </x:c>
      <x:c r="N6" s="25" t="str">
        <x:v>SIM</x:v>
      </x:c>
    </x:row>
    <x:row r="7">
      <x:c r="A7" s="25" t="str">
        <x:v>OPP-SIM-003</x:v>
      </x:c>
      <x:c r="B7" s="25" t="str">
        <x:v>CLI-SIM-003</x:v>
      </x:c>
      <x:c r="C7" s="25" t="str">
        <x:v>CON-SIM-005</x:v>
      </x:c>
      <x:c r="D7" s="25" t="str">
        <x:v>Tuberías y accesorios</x:v>
      </x:c>
      <x:c r="E7" s="25" t="str">
        <x:v>Referido maestro</x:v>
      </x:c>
      <x:c r="F7" s="25" t="str">
        <x:v>Oportunidad</x:v>
      </x:c>
      <x:c r="G7" s="25" t="str">
        <x:v>Media</x:v>
      </x:c>
      <x:c r="H7" s="25" t="str">
        <x:v>No</x:v>
      </x:c>
      <x:c r="I7" s="25" t="str">
        <x:v>Confirmar medidas faltantes</x:v>
      </x:c>
      <x:c r="J7" s="28" t="n">
        <x:v>46313</x:v>
      </x:c>
      <x:c r="K7" s="25" t="str">
        <x:v>Propietaria</x:v>
      </x:c>
      <x:c r="L7" s="25" t="str">
        <x:v>Abierta</x:v>
      </x:c>
      <x:c r="M7" s="25" t="str"/>
      <x:c r="N7" s="25" t="str">
        <x:v>SIM</x:v>
      </x:c>
    </x:row>
    <x:row r="8">
      <x:c r="A8" s="25" t="str">
        <x:v>OPP-SIM-004</x:v>
      </x:c>
      <x:c r="B8" s="25" t="str">
        <x:v>CLI-SIM-004</x:v>
      </x:c>
      <x:c r="C8" s="25" t="str">
        <x:v>CON-SIM-007</x:v>
      </x:c>
      <x:c r="D8" s="25" t="str">
        <x:v>Materiales para reparación doméstica</x:v>
      </x:c>
      <x:c r="E8" s="25" t="str">
        <x:v>Presencial</x:v>
      </x:c>
      <x:c r="F8" s="25" t="str">
        <x:v>Calificada</x:v>
      </x:c>
      <x:c r="G8" s="25" t="str">
        <x:v>Media</x:v>
      </x:c>
      <x:c r="H8" s="25" t="str">
        <x:v>No</x:v>
      </x:c>
      <x:c r="I8" s="25" t="str">
        <x:v>Enviar lista final de precios</x:v>
      </x:c>
      <x:c r="J8" s="28" t="n">
        <x:v>46312</x:v>
      </x:c>
      <x:c r="K8" s="25" t="str">
        <x:v>Dueño</x:v>
      </x:c>
      <x:c r="L8" s="25" t="str">
        <x:v>Ganada total</x:v>
      </x:c>
      <x:c r="M8" s="25" t="str"/>
      <x:c r="N8" s="25" t="str">
        <x:v>SIM</x:v>
      </x:c>
    </x:row>
    <x:row r="9">
      <x:c r="A9" s="25" t="str">
        <x:v>OPP-SIM-005</x:v>
      </x:c>
      <x:c r="B9" s="25" t="str">
        <x:v>CLI-SIM-005</x:v>
      </x:c>
      <x:c r="C9" s="25" t="str">
        <x:v>CON-SIM-008</x:v>
      </x:c>
      <x:c r="D9" s="25" t="str">
        <x:v>Pintura y herramientas</x:v>
      </x:c>
      <x:c r="E9" s="25" t="str">
        <x:v>WhatsApp</x:v>
      </x:c>
      <x:c r="F9" s="25" t="str">
        <x:v>Cotización</x:v>
      </x:c>
      <x:c r="G9" s="25" t="str">
        <x:v>Media</x:v>
      </x:c>
      <x:c r="H9" s="25" t="str">
        <x:v>Sí</x:v>
      </x:c>
      <x:c r="I9" s="25" t="str">
        <x:v>Consultar si acepta alternativa</x:v>
      </x:c>
      <x:c r="J9" s="28" t="n">
        <x:v>46313</x:v>
      </x:c>
      <x:c r="K9" s="25" t="str">
        <x:v>Propietaria</x:v>
      </x:c>
      <x:c r="L9" s="25" t="str">
        <x:v>Perdida</x:v>
      </x:c>
      <x:c r="M9" s="25" t="str">
        <x:v>Precio de competencia</x:v>
      </x:c>
      <x:c r="N9" s="25" t="str">
        <x:v>SIM</x:v>
      </x:c>
    </x:row>
    <x:row r="10">
      <x:c r="A10" s="25" t="str">
        <x:v>OPP-SIM-006</x:v>
      </x:c>
      <x:c r="B10" s="25" t="str">
        <x:v>CLI-SIM-006</x:v>
      </x:c>
      <x:c r="C10" s="25" t="str">
        <x:v>CON-SIM-009</x:v>
      </x:c>
      <x:c r="D10" s="25" t="str">
        <x:v>Materiales para acondicionamiento</x:v>
      </x:c>
      <x:c r="E10" s="25" t="str">
        <x:v>Referido</x:v>
      </x:c>
      <x:c r="F10" s="25" t="str">
        <x:v>Cotización</x:v>
      </x:c>
      <x:c r="G10" s="25" t="str">
        <x:v>Alta</x:v>
      </x:c>
      <x:c r="H10" s="25" t="str">
        <x:v>No</x:v>
      </x:c>
      <x:c r="I10" s="25" t="str">
        <x:v>Confirmar tipo de comprobante</x:v>
      </x:c>
      <x:c r="J10" s="28" t="n">
        <x:v>46312</x:v>
      </x:c>
      <x:c r="K10" s="25" t="str">
        <x:v>Propietaria</x:v>
      </x:c>
      <x:c r="L10" s="25" t="str">
        <x:v>Ganada total</x:v>
      </x:c>
      <x:c r="M10" s="25" t="str"/>
      <x:c r="N10" s="25" t="str">
        <x:v>SIM</x:v>
      </x:c>
    </x:row>
    <x:row r="11">
      <x:c r="A11" s="25" t="str">
        <x:v>OPP-SIM-007</x:v>
      </x:c>
      <x:c r="B11" s="25" t="str">
        <x:v>CLI-SIM-007</x:v>
      </x:c>
      <x:c r="C11" s="25" t="str">
        <x:v>CON-SIM-010</x:v>
      </x:c>
      <x:c r="D11" s="25" t="str">
        <x:v>Ladrillos y agregados</x:v>
      </x:c>
      <x:c r="E11" s="25" t="str">
        <x:v>Teléfono</x:v>
      </x:c>
      <x:c r="F11" s="25" t="str">
        <x:v>Oportunidad</x:v>
      </x:c>
      <x:c r="G11" s="25" t="str">
        <x:v>Media</x:v>
      </x:c>
      <x:c r="H11" s="25" t="str">
        <x:v>No</x:v>
      </x:c>
      <x:c r="I11" s="25" t="str">
        <x:v>Confirmar disponibilidad de ladrillo</x:v>
      </x:c>
      <x:c r="J11" s="28" t="n">
        <x:v>46312</x:v>
      </x:c>
      <x:c r="K11" s="25" t="str">
        <x:v>Dueño</x:v>
      </x:c>
      <x:c r="L11" s="25" t="str">
        <x:v>Abierta</x:v>
      </x:c>
      <x:c r="M11" s="25" t="str"/>
      <x:c r="N11" s="25" t="str">
        <x:v>SIM</x:v>
      </x:c>
    </x:row>
    <x:row r="12">
      <x:c r="A12" s="25" t="str">
        <x:v>OPP-SIM-008</x:v>
      </x:c>
      <x:c r="B12" s="25" t="str">
        <x:v>CLI-SIM-009</x:v>
      </x:c>
      <x:c r="C12" s="25" t="str">
        <x:v>CON-SIM-012</x:v>
      </x:c>
      <x:c r="D12" s="25" t="str">
        <x:v>Lista mixta de obra</x:v>
      </x:c>
      <x:c r="E12" s="25" t="str">
        <x:v>WhatsApp</x:v>
      </x:c>
      <x:c r="F12" s="25" t="str">
        <x:v>Cotización</x:v>
      </x:c>
      <x:c r="G12" s="25" t="str">
        <x:v>Alta</x:v>
      </x:c>
      <x:c r="H12" s="25" t="str">
        <x:v>Sí</x:v>
      </x:c>
      <x:c r="I12" s="25" t="str">
        <x:v>Revisar ajuste por volumen</x:v>
      </x:c>
      <x:c r="J12" s="28" t="n">
        <x:v>46312</x:v>
      </x:c>
      <x:c r="K12" s="25" t="str">
        <x:v>Propietaria</x:v>
      </x:c>
      <x:c r="L12" s="25" t="str">
        <x:v>Ganada parcial</x:v>
      </x:c>
      <x:c r="M12" s="25" t="str">
        <x:v>Compra parcial en otra ferretería</x:v>
      </x:c>
      <x:c r="N12" s="25" t="str">
        <x:v>SIM</x:v>
      </x:c>
    </x:row>
    <x:row r="13">
      <x:c r="A13" s="25" t="str">
        <x:v>OPP-SIM-009</x:v>
      </x:c>
      <x:c r="B13" s="25" t="str">
        <x:v>CLI-SIM-010</x:v>
      </x:c>
      <x:c r="C13" s="25" t="str">
        <x:v>CON-SIM-013</x:v>
      </x:c>
      <x:c r="D13" s="25" t="str">
        <x:v>Tuberías y tanque</x:v>
      </x:c>
      <x:c r="E13" s="25" t="str">
        <x:v>WhatsApp</x:v>
      </x:c>
      <x:c r="F13" s="25" t="str">
        <x:v>Cotización</x:v>
      </x:c>
      <x:c r="G13" s="25" t="str">
        <x:v>Alta</x:v>
      </x:c>
      <x:c r="H13" s="25" t="str">
        <x:v>No</x:v>
      </x:c>
      <x:c r="I13" s="25" t="str">
        <x:v>Confirmar dirección de proyecto</x:v>
      </x:c>
      <x:c r="J13" s="28" t="n">
        <x:v>46313</x:v>
      </x:c>
      <x:c r="K13" s="25" t="str">
        <x:v>Dueño</x:v>
      </x:c>
      <x:c r="L13" s="25" t="str">
        <x:v>Ganada total</x:v>
      </x:c>
      <x:c r="M13" s="25" t="str"/>
      <x:c r="N13" s="25" t="str">
        <x:v>SIM</x:v>
      </x:c>
    </x:row>
    <x:row r="14">
      <x:c r="A14" s="25" t="str">
        <x:v>OPP-SIM-010</x:v>
      </x:c>
      <x:c r="B14" s="25" t="str">
        <x:v>CLI-SIM-011</x:v>
      </x:c>
      <x:c r="C14" s="25" t="str">
        <x:v>CON-SIM-014</x:v>
      </x:c>
      <x:c r="D14" s="25" t="str">
        <x:v>Compra minorista de ferretería</x:v>
      </x:c>
      <x:c r="E14" s="25" t="str">
        <x:v>Presencial</x:v>
      </x:c>
      <x:c r="F14" s="25" t="str">
        <x:v>Lead</x:v>
      </x:c>
      <x:c r="G14" s="25" t="str">
        <x:v>Baja</x:v>
      </x:c>
      <x:c r="H14" s="25" t="str">
        <x:v>No</x:v>
      </x:c>
      <x:c r="I14" s="25" t="str">
        <x:v>Esperar lista concreta</x:v>
      </x:c>
      <x:c r="J14" s="28" t="n">
        <x:v>46315</x:v>
      </x:c>
      <x:c r="K14" s="25" t="str">
        <x:v>Dueño</x:v>
      </x:c>
      <x:c r="L14" s="25" t="str">
        <x:v>Abierta</x:v>
      </x:c>
      <x:c r="M14" s="25" t="str"/>
      <x:c r="N14" s="25" t="str">
        <x:v>SIM</x:v>
      </x:c>
    </x:row>
    <x:row r="15">
      <x:c r="A15" s="25" t="str">
        <x:v>OPP-SIM-011</x:v>
      </x:c>
      <x:c r="B15" s="25" t="str">
        <x:v>CLI-SIM-012</x:v>
      </x:c>
      <x:c r="C15" s="25" t="str">
        <x:v>CON-SIM-015</x:v>
      </x:c>
      <x:c r="D15" s="25" t="str">
        <x:v>Materiales estructurales</x:v>
      </x:c>
      <x:c r="E15" s="25" t="str">
        <x:v>Referido maestro</x:v>
      </x:c>
      <x:c r="F15" s="25" t="str">
        <x:v>Cotización</x:v>
      </x:c>
      <x:c r="G15" s="25" t="str">
        <x:v>Alta</x:v>
      </x:c>
      <x:c r="H15" s="25" t="str">
        <x:v>Sí</x:v>
      </x:c>
      <x:c r="I15" s="25" t="str">
        <x:v>Confirmar si requiere crédito</x:v>
      </x:c>
      <x:c r="J15" s="28" t="n">
        <x:v>46313</x:v>
      </x:c>
      <x:c r="K15" s="25" t="str">
        <x:v>Propietaria</x:v>
      </x:c>
      <x:c r="L15" s="25" t="str">
        <x:v>Perdida</x:v>
      </x:c>
      <x:c r="M15" s="25" t="str">
        <x:v>Crédito no concedido</x:v>
      </x:c>
      <x:c r="N15" s="25" t="str">
        <x:v>SIM</x:v>
      </x:c>
    </x:row>
    <x:row r="16">
      <x:c r="A16" s="25" t="str">
        <x:v>OPP-SIM-012</x:v>
      </x:c>
      <x:c r="B16" s="25" t="str">
        <x:v>CLI-SIM-001</x:v>
      </x:c>
      <x:c r="C16" s="25" t="str">
        <x:v>CON-SIM-001</x:v>
      </x:c>
      <x:c r="D16" s="25" t="str">
        <x:v>Reposición para segunda etapa</x:v>
      </x:c>
      <x:c r="E16" s="25" t="str">
        <x:v>WhatsApp</x:v>
      </x:c>
      <x:c r="F16" s="25" t="str">
        <x:v>Oportunidad</x:v>
      </x:c>
      <x:c r="G16" s="25" t="str">
        <x:v>Media</x:v>
      </x:c>
      <x:c r="H16" s="25" t="str">
        <x:v>No</x:v>
      </x:c>
      <x:c r="I16" s="25" t="str">
        <x:v>Preparar nueva cotización</x:v>
      </x:c>
      <x:c r="J16" s="28" t="n">
        <x:v>46314</x:v>
      </x:c>
      <x:c r="K16" s="25" t="str">
        <x:v>Propietaria</x:v>
      </x:c>
      <x:c r="L16" s="25" t="str">
        <x:v>Abierta</x:v>
      </x:c>
      <x:c r="M16" s="25" t="str"/>
      <x:c r="N16" s="25" t="str">
        <x:v>SIM</x:v>
      </x:c>
    </x:row>
    <x:row r="17">
      <x:c r="A17" s="25" t="str">
        <x:v>OPP-SIM-013</x:v>
      </x:c>
      <x:c r="B17" s="25" t="str">
        <x:v>CLI-SIM-003</x:v>
      </x:c>
      <x:c r="C17" s="25" t="str">
        <x:v>CON-SIM-006</x:v>
      </x:c>
      <x:c r="D17" s="25" t="str">
        <x:v>Agregados y cemento</x:v>
      </x:c>
      <x:c r="E17" s="25" t="str">
        <x:v>Teléfono</x:v>
      </x:c>
      <x:c r="F17" s="25" t="str">
        <x:v>Cotización</x:v>
      </x:c>
      <x:c r="G17" s="25" t="str">
        <x:v>Alta</x:v>
      </x:c>
      <x:c r="H17" s="25" t="str">
        <x:v>Sí</x:v>
      </x:c>
      <x:c r="I17" s="25" t="str">
        <x:v>Revisar flete</x:v>
      </x:c>
      <x:c r="J17" s="28" t="n">
        <x:v>46312</x:v>
      </x:c>
      <x:c r="K17" s="25" t="str">
        <x:v>Dueño</x:v>
      </x:c>
      <x:c r="L17" s="25" t="str">
        <x:v>Ganada parcial</x:v>
      </x:c>
      <x:c r="M17" s="25" t="str">
        <x:v>Flete/entrega no conveniente</x:v>
      </x:c>
      <x:c r="N17" s="25" t="str">
        <x:v>SIM</x:v>
      </x:c>
    </x:row>
    <x:row r="18">
      <x:c r="A18" s="25" t="str">
        <x:v>OPP-SIM-014</x:v>
      </x:c>
      <x:c r="B18" s="25" t="str">
        <x:v>CLI-SIM-006</x:v>
      </x:c>
      <x:c r="C18" s="25" t="str">
        <x:v>CON-SIM-009</x:v>
      </x:c>
      <x:c r="D18" s="25" t="str">
        <x:v>Herramientas y seguridad</x:v>
      </x:c>
      <x:c r="E18" s="25" t="str">
        <x:v>WhatsApp</x:v>
      </x:c>
      <x:c r="F18" s="25" t="str">
        <x:v>Calificada</x:v>
      </x:c>
      <x:c r="G18" s="25" t="str">
        <x:v>Media</x:v>
      </x:c>
      <x:c r="H18" s="25" t="str">
        <x:v>No</x:v>
      </x:c>
      <x:c r="I18" s="25" t="str">
        <x:v>Confirmar cantidades</x:v>
      </x:c>
      <x:c r="J18" s="28" t="n">
        <x:v>46314</x:v>
      </x:c>
      <x:c r="K18" s="25" t="str">
        <x:v>Propietaria</x:v>
      </x:c>
      <x:c r="L18" s="25" t="str">
        <x:v>Abierta</x:v>
      </x:c>
      <x:c r="M18" s="25" t="str"/>
      <x:c r="N18" s="25" t="str">
        <x:v>SIM</x:v>
      </x:c>
    </x:row>
    <x:row r="19">
      <x:c r="A19" s="25" t="str">
        <x:v>OPP-SIM-015</x:v>
      </x:c>
      <x:c r="B19" s="25" t="str">
        <x:v>CLI-SIM-009</x:v>
      </x:c>
      <x:c r="C19" s="25" t="str">
        <x:v>CON-SIM-011</x:v>
      </x:c>
      <x:c r="D19" s="25" t="str">
        <x:v>Material eléctrico</x:v>
      </x:c>
      <x:c r="E19" s="25" t="str">
        <x:v>WhatsApp</x:v>
      </x:c>
      <x:c r="F19" s="25" t="str">
        <x:v>Cotización</x:v>
      </x:c>
      <x:c r="G19" s="25" t="str">
        <x:v>Media</x:v>
      </x:c>
      <x:c r="H19" s="25" t="str">
        <x:v>Sí</x:v>
      </x:c>
      <x:c r="I19" s="25" t="str">
        <x:v>Dar seguimiento a propuesta</x:v>
      </x:c>
      <x:c r="J19" s="28" t="n">
        <x:v>46314</x:v>
      </x:c>
      <x:c r="K19" s="25" t="str">
        <x:v>Propietaria</x:v>
      </x:c>
      <x:c r="L19" s="25" t="str">
        <x:v>Perdida</x:v>
      </x:c>
      <x:c r="M19" s="25" t="str">
        <x:v>Cliente sin respuesta</x:v>
      </x:c>
      <x:c r="N19" s="25" t="str">
        <x:v>SIM</x:v>
      </x:c>
    </x:row>
    <x:row r="20">
      <x:c r="J20" s="29"/>
    </x:row>
    <x:row r="21">
      <x:c r="J21" s="29"/>
    </x:row>
    <x:row r="22">
      <x:c r="J22" s="29"/>
    </x:row>
    <x:row r="23">
      <x:c r="J23" s="29"/>
    </x:row>
    <x:row r="24">
      <x:c r="J24" s="29"/>
    </x:row>
    <x:row r="25">
      <x:c r="J25" s="29"/>
    </x:row>
    <x:row r="26">
      <x:c r="J26" s="29"/>
    </x:row>
    <x:row r="27">
      <x:c r="J27" s="29"/>
    </x:row>
    <x:row r="28">
      <x:c r="J28" s="29"/>
    </x:row>
    <x:row r="29">
      <x:c r="J29" s="29"/>
    </x:row>
    <x:row r="30">
      <x:c r="J30" s="29"/>
    </x:row>
    <x:row r="31">
      <x:c r="J31" s="29"/>
    </x:row>
    <x:row r="32">
      <x:c r="J32" s="29"/>
    </x:row>
    <x:row r="33">
      <x:c r="J33" s="29"/>
    </x:row>
    <x:row r="34">
      <x:c r="J34" s="29"/>
    </x:row>
    <x:row r="35">
      <x:c r="J35" s="29"/>
    </x:row>
    <x:row r="36">
      <x:c r="J36" s="29"/>
    </x:row>
    <x:row r="37">
      <x:c r="J37" s="29"/>
    </x:row>
    <x:row r="38">
      <x:c r="J38" s="29"/>
    </x:row>
    <x:row r="39">
      <x:c r="J39" s="29"/>
    </x:row>
    <x:row r="40">
      <x:c r="J40" s="29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0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56" hidden="0" customWidth="1"/>
    <x:col min="9" max="9" width="26" hidden="0" customWidth="1"/>
    <x:col min="10" max="10" width="24" hidden="0" customWidth="1"/>
    <x:col min="11" max="11" width="30" hidden="0" customWidth="1"/>
    <x:col min="12" max="12" width="12" hidden="0" customWidth="1"/>
  </x:cols>
  <x:sheetData>
    <x:row r="1" ht="24" customHeight="1">
      <x:c r="A1" s="4" t="str">
        <x:v>Cotizaciones y versiones sintéticas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id_cotizacion</x:v>
      </x:c>
      <x:c r="B4" s="18" t="str">
        <x:v>numero_cotizacion</x:v>
      </x:c>
      <x:c r="C4" s="18" t="str">
        <x:v>version</x:v>
      </x:c>
      <x:c r="D4" s="18" t="str">
        <x:v>id_oportunidad</x:v>
      </x:c>
      <x:c r="E4" s="18" t="str">
        <x:v>id_direccion</x:v>
      </x:c>
      <x:c r="F4" s="18" t="str">
        <x:v>fecha_emision</x:v>
      </x:c>
      <x:c r="G4" s="18" t="str">
        <x:v>estado</x:v>
      </x:c>
      <x:c r="H4" s="18" t="str">
        <x:v>criterio_vigencia</x:v>
      </x:c>
      <x:c r="I4" s="18" t="str">
        <x:v>tipo_comprobante_previsto</x:v>
      </x:c>
      <x:c r="J4" s="18" t="str">
        <x:v>autorizador_excepcion</x:v>
      </x:c>
      <x:c r="K4" s="18" t="str">
        <x:v>motivo_excepcion</x:v>
      </x:c>
      <x:c r="L4" s="18" t="str">
        <x:v>nota</x:v>
      </x:c>
    </x:row>
    <x:row r="5">
      <x:c r="A5" s="25" t="str">
        <x:v>COT-SIM-001-V01</x:v>
      </x:c>
      <x:c r="B5" s="25" t="str">
        <x:v>COT-SIM-001</x:v>
      </x:c>
      <x:c r="C5" s="25" t="n">
        <x:v>1</x:v>
      </x:c>
      <x:c r="D5" s="25" t="str">
        <x:v>OPP-SIM-001</x:v>
      </x:c>
      <x:c r="E5" s="25" t="str">
        <x:v>DIR-SIM-001</x:v>
      </x:c>
      <x:c r="F5" s="28" t="n">
        <x:v>46311</x:v>
      </x:c>
      <x:c r="G5" s="25" t="str">
        <x:v>En revisión</x:v>
      </x:c>
      <x:c r="H5" s="25" t="str">
        <x:v>Sujeta a actualización antes del pago si cambian costos</x:v>
      </x:c>
      <x:c r="I5" s="25" t="str">
        <x:v>Por definir</x:v>
      </x:c>
      <x:c r="J5" s="25" t="str"/>
      <x:c r="K5" s="25" t="str"/>
      <x:c r="L5" s="25" t="str">
        <x:v>SIM</x:v>
      </x:c>
    </x:row>
    <x:row r="6">
      <x:c r="A6" s="25" t="str">
        <x:v>COT-SIM-002-V01</x:v>
      </x:c>
      <x:c r="B6" s="25" t="str">
        <x:v>COT-SIM-002</x:v>
      </x:c>
      <x:c r="C6" s="25" t="n">
        <x:v>1</x:v>
      </x:c>
      <x:c r="D6" s="25" t="str">
        <x:v>OPP-SIM-002</x:v>
      </x:c>
      <x:c r="E6" s="25" t="str">
        <x:v>DIR-SIM-002</x:v>
      </x:c>
      <x:c r="F6" s="28" t="n">
        <x:v>46311</x:v>
      </x:c>
      <x:c r="G6" s="25" t="str">
        <x:v>Revisada</x:v>
      </x:c>
      <x:c r="H6" s="25" t="str">
        <x:v>Sujeta a actualización antes del pago si cambian costos</x:v>
      </x:c>
      <x:c r="I6" s="25" t="str">
        <x:v>Por definir</x:v>
      </x:c>
      <x:c r="J6" s="25" t="str"/>
      <x:c r="K6" s="25" t="str"/>
      <x:c r="L6" s="25" t="str">
        <x:v>SIM</x:v>
      </x:c>
    </x:row>
    <x:row r="7">
      <x:c r="A7" s="25" t="str">
        <x:v>COT-SIM-002-V02</x:v>
      </x:c>
      <x:c r="B7" s="25" t="str">
        <x:v>COT-SIM-002</x:v>
      </x:c>
      <x:c r="C7" s="25" t="n">
        <x:v>2</x:v>
      </x:c>
      <x:c r="D7" s="25" t="str">
        <x:v>OPP-SIM-002</x:v>
      </x:c>
      <x:c r="E7" s="25" t="str">
        <x:v>DIR-SIM-002</x:v>
      </x:c>
      <x:c r="F7" s="28" t="n">
        <x:v>46311</x:v>
      </x:c>
      <x:c r="G7" s="25" t="str">
        <x:v>Propuesta final</x:v>
      </x:c>
      <x:c r="H7" s="25" t="str">
        <x:v>Sujeta a actualización antes del pago si cambian costos</x:v>
      </x:c>
      <x:c r="I7" s="25" t="str">
        <x:v>Por definir</x:v>
      </x:c>
      <x:c r="J7" s="25" t="str">
        <x:v>Dueño</x:v>
      </x:c>
      <x:c r="K7" s="25" t="str">
        <x:v>Competencia</x:v>
      </x:c>
      <x:c r="L7" s="25" t="str">
        <x:v>SIM</x:v>
      </x:c>
    </x:row>
    <x:row r="8">
      <x:c r="A8" s="25" t="str">
        <x:v>COT-SIM-004-V01</x:v>
      </x:c>
      <x:c r="B8" s="25" t="str">
        <x:v>COT-SIM-004</x:v>
      </x:c>
      <x:c r="C8" s="25" t="n">
        <x:v>1</x:v>
      </x:c>
      <x:c r="D8" s="25" t="str">
        <x:v>OPP-SIM-004</x:v>
      </x:c>
      <x:c r="E8" s="25" t="str"/>
      <x:c r="F8" s="28" t="n">
        <x:v>46311</x:v>
      </x:c>
      <x:c r="G8" s="25" t="str">
        <x:v>Aceptada</x:v>
      </x:c>
      <x:c r="H8" s="25" t="str">
        <x:v>Sujeta a actualización antes del pago si cambian costos</x:v>
      </x:c>
      <x:c r="I8" s="25" t="str">
        <x:v>Boleta</x:v>
      </x:c>
      <x:c r="J8" s="25" t="str"/>
      <x:c r="K8" s="25" t="str"/>
      <x:c r="L8" s="25" t="str">
        <x:v>SIM</x:v>
      </x:c>
    </x:row>
    <x:row r="9">
      <x:c r="A9" s="25" t="str">
        <x:v>COT-SIM-005-V01</x:v>
      </x:c>
      <x:c r="B9" s="25" t="str">
        <x:v>COT-SIM-005</x:v>
      </x:c>
      <x:c r="C9" s="25" t="n">
        <x:v>1</x:v>
      </x:c>
      <x:c r="D9" s="25" t="str">
        <x:v>OPP-SIM-005</x:v>
      </x:c>
      <x:c r="E9" s="25" t="str"/>
      <x:c r="F9" s="28" t="n">
        <x:v>46311</x:v>
      </x:c>
      <x:c r="G9" s="25" t="str">
        <x:v>No aceptada</x:v>
      </x:c>
      <x:c r="H9" s="25" t="str">
        <x:v>Sujeta a actualización antes del pago si cambian costos</x:v>
      </x:c>
      <x:c r="I9" s="25" t="str">
        <x:v>Boleta</x:v>
      </x:c>
      <x:c r="J9" s="25" t="str"/>
      <x:c r="K9" s="25" t="str"/>
      <x:c r="L9" s="25" t="str">
        <x:v>SIM</x:v>
      </x:c>
    </x:row>
    <x:row r="10">
      <x:c r="A10" s="25" t="str">
        <x:v>COT-SIM-006-V01</x:v>
      </x:c>
      <x:c r="B10" s="25" t="str">
        <x:v>COT-SIM-006</x:v>
      </x:c>
      <x:c r="C10" s="25" t="n">
        <x:v>1</x:v>
      </x:c>
      <x:c r="D10" s="25" t="str">
        <x:v>OPP-SIM-006</x:v>
      </x:c>
      <x:c r="E10" s="25" t="str">
        <x:v>DIR-SIM-004</x:v>
      </x:c>
      <x:c r="F10" s="28" t="n">
        <x:v>46311</x:v>
      </x:c>
      <x:c r="G10" s="25" t="str">
        <x:v>Aceptada</x:v>
      </x:c>
      <x:c r="H10" s="25" t="str">
        <x:v>Sujeta a actualización antes del pago si cambian costos</x:v>
      </x:c>
      <x:c r="I10" s="25" t="str">
        <x:v>Factura</x:v>
      </x:c>
      <x:c r="J10" s="25" t="str"/>
      <x:c r="K10" s="25" t="str"/>
      <x:c r="L10" s="25" t="str">
        <x:v>SIM</x:v>
      </x:c>
    </x:row>
    <x:row r="11">
      <x:c r="A11" s="25" t="str">
        <x:v>COT-SIM-007-V01</x:v>
      </x:c>
      <x:c r="B11" s="25" t="str">
        <x:v>COT-SIM-007</x:v>
      </x:c>
      <x:c r="C11" s="25" t="n">
        <x:v>1</x:v>
      </x:c>
      <x:c r="D11" s="25" t="str">
        <x:v>OPP-SIM-007</x:v>
      </x:c>
      <x:c r="E11" s="25" t="str">
        <x:v>DIR-SIM-005</x:v>
      </x:c>
      <x:c r="F11" s="28" t="n">
        <x:v>46311</x:v>
      </x:c>
      <x:c r="G11" s="25" t="str">
        <x:v>En revisión</x:v>
      </x:c>
      <x:c r="H11" s="25" t="str">
        <x:v>Sujeta a actualización antes del pago si cambian costos</x:v>
      </x:c>
      <x:c r="I11" s="25" t="str">
        <x:v>Por definir</x:v>
      </x:c>
      <x:c r="J11" s="25" t="str"/>
      <x:c r="K11" s="25" t="str"/>
      <x:c r="L11" s="25" t="str">
        <x:v>SIM</x:v>
      </x:c>
    </x:row>
    <x:row r="12">
      <x:c r="A12" s="25" t="str">
        <x:v>COT-SIM-008-V01</x:v>
      </x:c>
      <x:c r="B12" s="25" t="str">
        <x:v>COT-SIM-008</x:v>
      </x:c>
      <x:c r="C12" s="25" t="n">
        <x:v>1</x:v>
      </x:c>
      <x:c r="D12" s="25" t="str">
        <x:v>OPP-SIM-008</x:v>
      </x:c>
      <x:c r="E12" s="25" t="str">
        <x:v>DIR-SIM-006</x:v>
      </x:c>
      <x:c r="F12" s="28" t="n">
        <x:v>46311</x:v>
      </x:c>
      <x:c r="G12" s="25" t="str">
        <x:v>Revisada</x:v>
      </x:c>
      <x:c r="H12" s="25" t="str">
        <x:v>Sujeta a actualización antes del pago si cambian costos</x:v>
      </x:c>
      <x:c r="I12" s="25" t="str">
        <x:v>Por definir</x:v>
      </x:c>
      <x:c r="J12" s="25" t="str"/>
      <x:c r="K12" s="25" t="str"/>
      <x:c r="L12" s="25" t="str">
        <x:v>SIM</x:v>
      </x:c>
    </x:row>
    <x:row r="13">
      <x:c r="A13" s="25" t="str">
        <x:v>COT-SIM-008-V02</x:v>
      </x:c>
      <x:c r="B13" s="25" t="str">
        <x:v>COT-SIM-008</x:v>
      </x:c>
      <x:c r="C13" s="25" t="n">
        <x:v>2</x:v>
      </x:c>
      <x:c r="D13" s="25" t="str">
        <x:v>OPP-SIM-008</x:v>
      </x:c>
      <x:c r="E13" s="25" t="str">
        <x:v>DIR-SIM-006</x:v>
      </x:c>
      <x:c r="F13" s="28" t="n">
        <x:v>46311</x:v>
      </x:c>
      <x:c r="G13" s="25" t="str">
        <x:v>Propuesta final</x:v>
      </x:c>
      <x:c r="H13" s="25" t="str">
        <x:v>Sujeta a actualización antes del pago si cambian costos</x:v>
      </x:c>
      <x:c r="I13" s="25" t="str">
        <x:v>Por definir</x:v>
      </x:c>
      <x:c r="J13" s="25" t="str">
        <x:v>Propietaria</x:v>
      </x:c>
      <x:c r="K13" s="25" t="str">
        <x:v>Volumen</x:v>
      </x:c>
      <x:c r="L13" s="25" t="str">
        <x:v>SIM</x:v>
      </x:c>
    </x:row>
    <x:row r="14">
      <x:c r="A14" s="25" t="str">
        <x:v>COT-SIM-009-V01</x:v>
      </x:c>
      <x:c r="B14" s="25" t="str">
        <x:v>COT-SIM-009</x:v>
      </x:c>
      <x:c r="C14" s="25" t="n">
        <x:v>1</x:v>
      </x:c>
      <x:c r="D14" s="25" t="str">
        <x:v>OPP-SIM-009</x:v>
      </x:c>
      <x:c r="E14" s="25" t="str">
        <x:v>DIR-SIM-007</x:v>
      </x:c>
      <x:c r="F14" s="28" t="n">
        <x:v>46311</x:v>
      </x:c>
      <x:c r="G14" s="25" t="str">
        <x:v>Aceptada</x:v>
      </x:c>
      <x:c r="H14" s="25" t="str">
        <x:v>Sujeta a actualización antes del pago si cambian costos</x:v>
      </x:c>
      <x:c r="I14" s="25" t="str">
        <x:v>Factura</x:v>
      </x:c>
      <x:c r="J14" s="25" t="str"/>
      <x:c r="K14" s="25" t="str"/>
      <x:c r="L14" s="25" t="str">
        <x:v>SIM</x:v>
      </x:c>
    </x:row>
    <x:row r="15">
      <x:c r="A15" s="25" t="str">
        <x:v>COT-SIM-011-V01</x:v>
      </x:c>
      <x:c r="B15" s="25" t="str">
        <x:v>COT-SIM-011</x:v>
      </x:c>
      <x:c r="C15" s="25" t="n">
        <x:v>1</x:v>
      </x:c>
      <x:c r="D15" s="25" t="str">
        <x:v>OPP-SIM-011</x:v>
      </x:c>
      <x:c r="E15" s="25" t="str">
        <x:v>DIR-SIM-008</x:v>
      </x:c>
      <x:c r="F15" s="28" t="n">
        <x:v>46311</x:v>
      </x:c>
      <x:c r="G15" s="25" t="str">
        <x:v>No aceptada</x:v>
      </x:c>
      <x:c r="H15" s="25" t="str">
        <x:v>Sujeta a actualización antes del pago si cambian costos</x:v>
      </x:c>
      <x:c r="I15" s="25" t="str">
        <x:v>Por definir</x:v>
      </x:c>
      <x:c r="J15" s="25" t="str"/>
      <x:c r="K15" s="25" t="str">
        <x:v>Crédito no concedido</x:v>
      </x:c>
      <x:c r="L15" s="25" t="str">
        <x:v>SIM</x:v>
      </x:c>
    </x:row>
    <x:row r="16">
      <x:c r="A16" s="25" t="str">
        <x:v>COT-SIM-013-V01</x:v>
      </x:c>
      <x:c r="B16" s="25" t="str">
        <x:v>COT-SIM-013</x:v>
      </x:c>
      <x:c r="C16" s="25" t="n">
        <x:v>1</x:v>
      </x:c>
      <x:c r="D16" s="25" t="str">
        <x:v>OPP-SIM-013</x:v>
      </x:c>
      <x:c r="E16" s="25" t="str">
        <x:v>DIR-SIM-003</x:v>
      </x:c>
      <x:c r="F16" s="28" t="n">
        <x:v>46311</x:v>
      </x:c>
      <x:c r="G16" s="25" t="str">
        <x:v>Revisada</x:v>
      </x:c>
      <x:c r="H16" s="25" t="str">
        <x:v>Sujeta a actualización antes del pago si cambian costos</x:v>
      </x:c>
      <x:c r="I16" s="25" t="str">
        <x:v>Por definir</x:v>
      </x:c>
      <x:c r="J16" s="25" t="str"/>
      <x:c r="K16" s="25" t="str"/>
      <x:c r="L16" s="25" t="str">
        <x:v>SIM</x:v>
      </x:c>
    </x:row>
    <x:row r="17">
      <x:c r="A17" s="25" t="str">
        <x:v>COT-SIM-013-V02</x:v>
      </x:c>
      <x:c r="B17" s="25" t="str">
        <x:v>COT-SIM-013</x:v>
      </x:c>
      <x:c r="C17" s="25" t="n">
        <x:v>2</x:v>
      </x:c>
      <x:c r="D17" s="25" t="str">
        <x:v>OPP-SIM-013</x:v>
      </x:c>
      <x:c r="E17" s="25" t="str">
        <x:v>DIR-SIM-003</x:v>
      </x:c>
      <x:c r="F17" s="28" t="n">
        <x:v>46311</x:v>
      </x:c>
      <x:c r="G17" s="25" t="str">
        <x:v>Propuesta final</x:v>
      </x:c>
      <x:c r="H17" s="25" t="str">
        <x:v>Sujeta a actualización antes del pago si cambian costos</x:v>
      </x:c>
      <x:c r="I17" s="25" t="str">
        <x:v>Por definir</x:v>
      </x:c>
      <x:c r="J17" s="25" t="str">
        <x:v>Dueño</x:v>
      </x:c>
      <x:c r="K17" s="25" t="str">
        <x:v>Condición de entrega</x:v>
      </x:c>
      <x:c r="L17" s="25" t="str">
        <x:v>SIM</x:v>
      </x:c>
    </x:row>
    <x:row r="18">
      <x:c r="A18" s="25" t="str">
        <x:v>COT-SIM-015-V01</x:v>
      </x:c>
      <x:c r="B18" s="25" t="str">
        <x:v>COT-SIM-015</x:v>
      </x:c>
      <x:c r="C18" s="25" t="n">
        <x:v>1</x:v>
      </x:c>
      <x:c r="D18" s="25" t="str">
        <x:v>OPP-SIM-015</x:v>
      </x:c>
      <x:c r="E18" s="25" t="str">
        <x:v>DIR-SIM-006</x:v>
      </x:c>
      <x:c r="F18" s="28" t="n">
        <x:v>46311</x:v>
      </x:c>
      <x:c r="G18" s="25" t="str">
        <x:v>No aceptada</x:v>
      </x:c>
      <x:c r="H18" s="25" t="str">
        <x:v>Sujeta a actualización antes del pago si cambian costos</x:v>
      </x:c>
      <x:c r="I18" s="25" t="str">
        <x:v>Por definir</x:v>
      </x:c>
      <x:c r="J18" s="25" t="str"/>
      <x:c r="K18" s="25" t="str"/>
      <x:c r="L18" s="25" t="str">
        <x:v>SIM</x:v>
      </x:c>
    </x:row>
    <x:row r="19">
      <x:c r="F19" s="29"/>
    </x:row>
    <x:row r="20">
      <x:c r="F20" s="29"/>
    </x:row>
    <x:row r="21">
      <x:c r="F21" s="29"/>
    </x:row>
    <x:row r="22">
      <x:c r="F22" s="29"/>
    </x:row>
    <x:row r="23">
      <x:c r="F23" s="29"/>
    </x:row>
    <x:row r="24">
      <x:c r="F24" s="29"/>
    </x:row>
    <x:row r="25">
      <x:c r="F25" s="29"/>
    </x:row>
    <x:row r="26">
      <x:c r="F26" s="29"/>
    </x:row>
    <x:row r="27">
      <x:c r="F27" s="29"/>
    </x:row>
    <x:row r="28">
      <x:c r="F28" s="29"/>
    </x:row>
    <x:row r="29">
      <x:c r="F29" s="29"/>
    </x:row>
    <x:row r="30">
      <x:c r="F30" s="29"/>
    </x:row>
    <x:row r="31">
      <x:c r="F31" s="29"/>
    </x:row>
    <x:row r="32">
      <x:c r="F32" s="29"/>
    </x:row>
    <x:row r="33">
      <x:c r="F33" s="29"/>
    </x:row>
    <x:row r="34">
      <x:c r="F34" s="29"/>
    </x:row>
    <x:row r="35">
      <x:c r="F35" s="29"/>
    </x:row>
    <x:row r="36">
      <x:c r="F36" s="29"/>
    </x:row>
    <x:row r="37">
      <x:c r="F37" s="29"/>
    </x:row>
    <x:row r="38">
      <x:c r="F38" s="29"/>
    </x:row>
    <x:row r="39">
      <x:c r="F39" s="29"/>
    </x:row>
    <x:row r="40">
      <x:c r="F40" s="29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" hidden="0" customWidth="1"/>
    <x:col min="3" max="3" width="16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0" hidden="0" customWidth="1"/>
    <x:col min="12" max="12" width="20" hidden="0" customWidth="1"/>
    <x:col min="13" max="13" width="12" hidden="0" customWidth="1"/>
  </x:cols>
  <x:sheetData>
    <x:row r="1" ht="24" customHeight="1">
      <x:c r="A1" s="4" t="str">
        <x:v>Detalle de cotizaciones sintéticas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Los precios son completamente simulados y no deben utilizarse como lista real de MIGAL.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id_cotizacion</x:v>
      </x:c>
      <x:c r="B4" s="18" t="str">
        <x:v>linea</x:v>
      </x:c>
      <x:c r="C4" s="18" t="str">
        <x:v>id_producto</x:v>
      </x:c>
      <x:c r="D4" s="18" t="str">
        <x:v>cantidad</x:v>
      </x:c>
      <x:c r="E4" s="18" t="str">
        <x:v>precio_referencia</x:v>
      </x:c>
      <x:c r="F4" s="18" t="str">
        <x:v>precio_ofrecido</x:v>
      </x:c>
      <x:c r="G4" s="18" t="str">
        <x:v>total_referencia</x:v>
      </x:c>
      <x:c r="H4" s="18" t="str">
        <x:v>total_ofrecido</x:v>
      </x:c>
      <x:c r="I4" s="18" t="str">
        <x:v>beneficio_cliente</x:v>
      </x:c>
      <x:c r="J4" s="18" t="str">
        <x:v>motivo_ajuste</x:v>
      </x:c>
      <x:c r="K4" s="18" t="str">
        <x:v>autorizado_por</x:v>
      </x:c>
      <x:c r="L4" s="18" t="str">
        <x:v>resultado_linea</x:v>
      </x:c>
      <x:c r="M4" s="18" t="str">
        <x:v>nota</x:v>
      </x:c>
    </x:row>
    <x:row r="5">
      <x:c r="A5" s="25" t="str">
        <x:v>COT-SIM-001-V01</x:v>
      </x:c>
      <x:c r="B5" s="25" t="n">
        <x:v>1</x:v>
      </x:c>
      <x:c r="C5" s="25" t="str">
        <x:v>PRD-SIM-001</x:v>
      </x:c>
      <x:c r="D5" s="25" t="n">
        <x:v>100</x:v>
      </x:c>
      <x:c r="E5" s="32" t="n">
        <x:v>30</x:v>
      </x:c>
      <x:c r="F5" s="32" t="n">
        <x:v>30</x:v>
      </x:c>
      <x:c r="G5" s="32" t="n">
        <x:f>D5*E5</x:f>
        <x:v>3000</x:v>
      </x:c>
      <x:c r="H5" s="32" t="n">
        <x:f>D5*F5</x:f>
        <x:v>3000</x:v>
      </x:c>
      <x:c r="I5" s="32" t="n">
        <x:f>G5-H5</x:f>
        <x:v>0</x:v>
      </x:c>
      <x:c r="J5" s="25" t="str"/>
      <x:c r="K5" s="25" t="str"/>
      <x:c r="L5" s="25" t="str">
        <x:v>Pendiente</x:v>
      </x:c>
      <x:c r="M5" s="25" t="str">
        <x:v>SIM</x:v>
      </x:c>
    </x:row>
    <x:row r="6">
      <x:c r="A6" s="25" t="str">
        <x:v>COT-SIM-001-V01</x:v>
      </x:c>
      <x:c r="B6" s="25" t="n">
        <x:v>2</x:v>
      </x:c>
      <x:c r="C6" s="25" t="str">
        <x:v>PRD-SIM-002</x:v>
      </x:c>
      <x:c r="D6" s="25" t="n">
        <x:v>40</x:v>
      </x:c>
      <x:c r="E6" s="32" t="n">
        <x:v>40</x:v>
      </x:c>
      <x:c r="F6" s="32" t="n">
        <x:v>40</x:v>
      </x:c>
      <x:c r="G6" s="32" t="n">
        <x:f>D6*E6</x:f>
        <x:v>1600</x:v>
      </x:c>
      <x:c r="H6" s="32" t="n">
        <x:f>D6*F6</x:f>
        <x:v>1600</x:v>
      </x:c>
      <x:c r="I6" s="32" t="n">
        <x:f>G6-H6</x:f>
        <x:v>0</x:v>
      </x:c>
      <x:c r="J6" s="25" t="str"/>
      <x:c r="K6" s="25" t="str"/>
      <x:c r="L6" s="25" t="str">
        <x:v>Pendiente</x:v>
      </x:c>
      <x:c r="M6" s="25" t="str">
        <x:v>SIM</x:v>
      </x:c>
    </x:row>
    <x:row r="7">
      <x:c r="A7" s="25" t="str">
        <x:v>COT-SIM-001-V01</x:v>
      </x:c>
      <x:c r="B7" s="25" t="n">
        <x:v>3</x:v>
      </x:c>
      <x:c r="C7" s="25" t="str">
        <x:v>PRD-SIM-003</x:v>
      </x:c>
      <x:c r="D7" s="25" t="n">
        <x:v>20</x:v>
      </x:c>
      <x:c r="E7" s="32" t="n">
        <x:v>20</x:v>
      </x:c>
      <x:c r="F7" s="32" t="n">
        <x:v>20</x:v>
      </x:c>
      <x:c r="G7" s="32" t="n">
        <x:f>D7*E7</x:f>
        <x:v>400</x:v>
      </x:c>
      <x:c r="H7" s="32" t="n">
        <x:f>D7*F7</x:f>
        <x:v>400</x:v>
      </x:c>
      <x:c r="I7" s="32" t="n">
        <x:f>G7-H7</x:f>
        <x:v>0</x:v>
      </x:c>
      <x:c r="J7" s="25" t="str"/>
      <x:c r="K7" s="25" t="str"/>
      <x:c r="L7" s="25" t="str">
        <x:v>Pendiente</x:v>
      </x:c>
      <x:c r="M7" s="25" t="str">
        <x:v>SIM</x:v>
      </x:c>
    </x:row>
    <x:row r="8">
      <x:c r="A8" s="25" t="str">
        <x:v>COT-SIM-002-V01</x:v>
      </x:c>
      <x:c r="B8" s="25" t="n">
        <x:v>1</x:v>
      </x:c>
      <x:c r="C8" s="25" t="str">
        <x:v>PRD-SIM-001</x:v>
      </x:c>
      <x:c r="D8" s="25" t="n">
        <x:v>80</x:v>
      </x:c>
      <x:c r="E8" s="32" t="n">
        <x:v>30.2</x:v>
      </x:c>
      <x:c r="F8" s="32" t="n">
        <x:v>30.2</x:v>
      </x:c>
      <x:c r="G8" s="32" t="n">
        <x:f>D8*E8</x:f>
        <x:v>2416</x:v>
      </x:c>
      <x:c r="H8" s="32" t="n">
        <x:f>D8*F8</x:f>
        <x:v>2416</x:v>
      </x:c>
      <x:c r="I8" s="32" t="n">
        <x:f>G8-H8</x:f>
        <x:v>0</x:v>
      </x:c>
      <x:c r="J8" s="25" t="str"/>
      <x:c r="K8" s="25" t="str"/>
      <x:c r="L8" s="25" t="str">
        <x:v>Adjudicada</x:v>
      </x:c>
      <x:c r="M8" s="25" t="str">
        <x:v>SIM</x:v>
      </x:c>
    </x:row>
    <x:row r="9">
      <x:c r="A9" s="25" t="str">
        <x:v>COT-SIM-002-V01</x:v>
      </x:c>
      <x:c r="B9" s="25" t="n">
        <x:v>2</x:v>
      </x:c>
      <x:c r="C9" s="25" t="str">
        <x:v>PRD-SIM-002</x:v>
      </x:c>
      <x:c r="D9" s="25" t="n">
        <x:v>60</x:v>
      </x:c>
      <x:c r="E9" s="32" t="n">
        <x:v>40.5</x:v>
      </x:c>
      <x:c r="F9" s="32" t="n">
        <x:v>40.5</x:v>
      </x:c>
      <x:c r="G9" s="32" t="n">
        <x:f>D9*E9</x:f>
        <x:v>2430</x:v>
      </x:c>
      <x:c r="H9" s="32" t="n">
        <x:f>D9*F9</x:f>
        <x:v>2430</x:v>
      </x:c>
      <x:c r="I9" s="32" t="n">
        <x:f>G9-H9</x:f>
        <x:v>0</x:v>
      </x:c>
      <x:c r="J9" s="25" t="str"/>
      <x:c r="K9" s="25" t="str"/>
      <x:c r="L9" s="25" t="str">
        <x:v>No adjudicada</x:v>
      </x:c>
      <x:c r="M9" s="25" t="str">
        <x:v>SIM</x:v>
      </x:c>
    </x:row>
    <x:row r="10">
      <x:c r="A10" s="25" t="str">
        <x:v>COT-SIM-002-V02</x:v>
      </x:c>
      <x:c r="B10" s="25" t="n">
        <x:v>1</x:v>
      </x:c>
      <x:c r="C10" s="25" t="str">
        <x:v>PRD-SIM-001</x:v>
      </x:c>
      <x:c r="D10" s="25" t="n">
        <x:v>80</x:v>
      </x:c>
      <x:c r="E10" s="32" t="n">
        <x:v>30.2</x:v>
      </x:c>
      <x:c r="F10" s="32" t="n">
        <x:v>30</x:v>
      </x:c>
      <x:c r="G10" s="32" t="n">
        <x:f>D10*E10</x:f>
        <x:v>2416</x:v>
      </x:c>
      <x:c r="H10" s="32" t="n">
        <x:f>D10*F10</x:f>
        <x:v>2400</x:v>
      </x:c>
      <x:c r="I10" s="32" t="n">
        <x:f>G10-H10</x:f>
        <x:v>16</x:v>
      </x:c>
      <x:c r="J10" s="25" t="str">
        <x:v>Volumen</x:v>
      </x:c>
      <x:c r="K10" s="25" t="str">
        <x:v>Dueño</x:v>
      </x:c>
      <x:c r="L10" s="25" t="str">
        <x:v>Adjudicada</x:v>
      </x:c>
      <x:c r="M10" s="25" t="str">
        <x:v>SIM</x:v>
      </x:c>
    </x:row>
    <x:row r="11">
      <x:c r="A11" s="25" t="str">
        <x:v>COT-SIM-002-V02</x:v>
      </x:c>
      <x:c r="B11" s="25" t="n">
        <x:v>2</x:v>
      </x:c>
      <x:c r="C11" s="25" t="str">
        <x:v>PRD-SIM-002</x:v>
      </x:c>
      <x:c r="D11" s="25" t="n">
        <x:v>60</x:v>
      </x:c>
      <x:c r="E11" s="32" t="n">
        <x:v>40.5</x:v>
      </x:c>
      <x:c r="F11" s="32" t="n">
        <x:v>40.1</x:v>
      </x:c>
      <x:c r="G11" s="32" t="n">
        <x:f>D11*E11</x:f>
        <x:v>2430</x:v>
      </x:c>
      <x:c r="H11" s="32" t="n">
        <x:f>D11*F11</x:f>
        <x:v>2406</x:v>
      </x:c>
      <x:c r="I11" s="32" t="n">
        <x:f>G11-H11</x:f>
        <x:v>24</x:v>
      </x:c>
      <x:c r="J11" s="25" t="str">
        <x:v>Competencia</x:v>
      </x:c>
      <x:c r="K11" s="25" t="str">
        <x:v>Dueño</x:v>
      </x:c>
      <x:c r="L11" s="25" t="str">
        <x:v>No adjudicada</x:v>
      </x:c>
      <x:c r="M11" s="25" t="str">
        <x:v>SIM</x:v>
      </x:c>
    </x:row>
    <x:row r="12">
      <x:c r="A12" s="25" t="str">
        <x:v>COT-SIM-004-V01</x:v>
      </x:c>
      <x:c r="B12" s="25" t="n">
        <x:v>1</x:v>
      </x:c>
      <x:c r="C12" s="25" t="str">
        <x:v>PRD-SIM-013</x:v>
      </x:c>
      <x:c r="D12" s="25" t="n">
        <x:v>4</x:v>
      </x:c>
      <x:c r="E12" s="32" t="n">
        <x:v>12</x:v>
      </x:c>
      <x:c r="F12" s="32" t="n">
        <x:v>12</x:v>
      </x:c>
      <x:c r="G12" s="32" t="n">
        <x:f>D12*E12</x:f>
        <x:v>48</x:v>
      </x:c>
      <x:c r="H12" s="32" t="n">
        <x:f>D12*F12</x:f>
        <x:v>48</x:v>
      </x:c>
      <x:c r="I12" s="32" t="n">
        <x:f>G12-H12</x:f>
        <x:v>0</x:v>
      </x:c>
      <x:c r="J12" s="25" t="str"/>
      <x:c r="K12" s="25" t="str"/>
      <x:c r="L12" s="25" t="str">
        <x:v>Adjudicada</x:v>
      </x:c>
      <x:c r="M12" s="25" t="str">
        <x:v>SIM</x:v>
      </x:c>
    </x:row>
    <x:row r="13">
      <x:c r="A13" s="25" t="str">
        <x:v>COT-SIM-004-V01</x:v>
      </x:c>
      <x:c r="B13" s="25" t="n">
        <x:v>2</x:v>
      </x:c>
      <x:c r="C13" s="25" t="str">
        <x:v>PRD-SIM-014</x:v>
      </x:c>
      <x:c r="D13" s="25" t="n">
        <x:v>3</x:v>
      </x:c>
      <x:c r="E13" s="32" t="n">
        <x:v>8.5</x:v>
      </x:c>
      <x:c r="F13" s="32" t="n">
        <x:v>8.5</x:v>
      </x:c>
      <x:c r="G13" s="32" t="n">
        <x:f>D13*E13</x:f>
        <x:v>25.5</x:v>
      </x:c>
      <x:c r="H13" s="32" t="n">
        <x:f>D13*F13</x:f>
        <x:v>25.5</x:v>
      </x:c>
      <x:c r="I13" s="32" t="n">
        <x:f>G13-H13</x:f>
        <x:v>0</x:v>
      </x:c>
      <x:c r="J13" s="25" t="str"/>
      <x:c r="K13" s="25" t="str"/>
      <x:c r="L13" s="25" t="str">
        <x:v>Adjudicada</x:v>
      </x:c>
      <x:c r="M13" s="25" t="str">
        <x:v>SIM</x:v>
      </x:c>
    </x:row>
    <x:row r="14">
      <x:c r="A14" s="25" t="str">
        <x:v>COT-SIM-005-V01</x:v>
      </x:c>
      <x:c r="B14" s="25" t="n">
        <x:v>1</x:v>
      </x:c>
      <x:c r="C14" s="25" t="str">
        <x:v>PRD-SIM-012</x:v>
      </x:c>
      <x:c r="D14" s="25" t="n">
        <x:v>5</x:v>
      </x:c>
      <x:c r="E14" s="32" t="n">
        <x:v>55</x:v>
      </x:c>
      <x:c r="F14" s="32" t="n">
        <x:v>55</x:v>
      </x:c>
      <x:c r="G14" s="32" t="n">
        <x:f>D14*E14</x:f>
        <x:v>275</x:v>
      </x:c>
      <x:c r="H14" s="32" t="n">
        <x:f>D14*F14</x:f>
        <x:v>275</x:v>
      </x:c>
      <x:c r="I14" s="32" t="n">
        <x:f>G14-H14</x:f>
        <x:v>0</x:v>
      </x:c>
      <x:c r="J14" s="25" t="str"/>
      <x:c r="K14" s="25" t="str"/>
      <x:c r="L14" s="25" t="str">
        <x:v>No adjudicada</x:v>
      </x:c>
      <x:c r="M14" s="25" t="str">
        <x:v>SIM</x:v>
      </x:c>
    </x:row>
    <x:row r="15">
      <x:c r="A15" s="25" t="str">
        <x:v>COT-SIM-005-V01</x:v>
      </x:c>
      <x:c r="B15" s="25" t="n">
        <x:v>2</x:v>
      </x:c>
      <x:c r="C15" s="25" t="str">
        <x:v>PRD-SIM-013</x:v>
      </x:c>
      <x:c r="D15" s="25" t="n">
        <x:v>6</x:v>
      </x:c>
      <x:c r="E15" s="32" t="n">
        <x:v>12</x:v>
      </x:c>
      <x:c r="F15" s="32" t="n">
        <x:v>11.8</x:v>
      </x:c>
      <x:c r="G15" s="32" t="n">
        <x:f>D15*E15</x:f>
        <x:v>72</x:v>
      </x:c>
      <x:c r="H15" s="32" t="n">
        <x:f>D15*F15</x:f>
        <x:v>70.80000000000001</x:v>
      </x:c>
      <x:c r="I15" s="32" t="n">
        <x:f>G15-H15</x:f>
        <x:v>1.1999999999999886</x:v>
      </x:c>
      <x:c r="J15" s="25" t="str">
        <x:v>Competencia</x:v>
      </x:c>
      <x:c r="K15" s="25" t="str">
        <x:v>Propietaria</x:v>
      </x:c>
      <x:c r="L15" s="25" t="str">
        <x:v>No adjudicada</x:v>
      </x:c>
      <x:c r="M15" s="25" t="str">
        <x:v>SIM</x:v>
      </x:c>
    </x:row>
    <x:row r="16">
      <x:c r="A16" s="25" t="str">
        <x:v>COT-SIM-006-V01</x:v>
      </x:c>
      <x:c r="B16" s="25" t="n">
        <x:v>1</x:v>
      </x:c>
      <x:c r="C16" s="25" t="str">
        <x:v>PRD-SIM-003</x:v>
      </x:c>
      <x:c r="D16" s="25" t="n">
        <x:v>20</x:v>
      </x:c>
      <x:c r="E16" s="32" t="n">
        <x:v>20.5</x:v>
      </x:c>
      <x:c r="F16" s="32" t="n">
        <x:v>20.5</x:v>
      </x:c>
      <x:c r="G16" s="32" t="n">
        <x:f>D16*E16</x:f>
        <x:v>410</x:v>
      </x:c>
      <x:c r="H16" s="32" t="n">
        <x:f>D16*F16</x:f>
        <x:v>410</x:v>
      </x:c>
      <x:c r="I16" s="32" t="n">
        <x:f>G16-H16</x:f>
        <x:v>0</x:v>
      </x:c>
      <x:c r="J16" s="25" t="str"/>
      <x:c r="K16" s="25" t="str"/>
      <x:c r="L16" s="25" t="str">
        <x:v>Adjudicada</x:v>
      </x:c>
      <x:c r="M16" s="25" t="str">
        <x:v>SIM</x:v>
      </x:c>
    </x:row>
    <x:row r="17">
      <x:c r="A17" s="25" t="str">
        <x:v>COT-SIM-006-V01</x:v>
      </x:c>
      <x:c r="B17" s="25" t="n">
        <x:v>2</x:v>
      </x:c>
      <x:c r="C17" s="25" t="str">
        <x:v>PRD-SIM-019</x:v>
      </x:c>
      <x:c r="D17" s="25" t="n">
        <x:v>2</x:v>
      </x:c>
      <x:c r="E17" s="32" t="n">
        <x:v>480</x:v>
      </x:c>
      <x:c r="F17" s="32" t="n">
        <x:v>480</x:v>
      </x:c>
      <x:c r="G17" s="32" t="n">
        <x:f>D17*E17</x:f>
        <x:v>960</x:v>
      </x:c>
      <x:c r="H17" s="32" t="n">
        <x:f>D17*F17</x:f>
        <x:v>960</x:v>
      </x:c>
      <x:c r="I17" s="32" t="n">
        <x:f>G17-H17</x:f>
        <x:v>0</x:v>
      </x:c>
      <x:c r="J17" s="25" t="str"/>
      <x:c r="K17" s="25" t="str"/>
      <x:c r="L17" s="25" t="str">
        <x:v>Adjudicada</x:v>
      </x:c>
      <x:c r="M17" s="25" t="str">
        <x:v>SIM</x:v>
      </x:c>
    </x:row>
    <x:row r="18">
      <x:c r="A18" s="25" t="str">
        <x:v>COT-SIM-007-V01</x:v>
      </x:c>
      <x:c r="B18" s="25" t="n">
        <x:v>1</x:v>
      </x:c>
      <x:c r="C18" s="25" t="str">
        <x:v>PRD-SIM-008</x:v>
      </x:c>
      <x:c r="D18" s="25" t="n">
        <x:v>1200</x:v>
      </x:c>
      <x:c r="E18" s="32" t="n">
        <x:v>1.2</x:v>
      </x:c>
      <x:c r="F18" s="32" t="n">
        <x:v>1.2</x:v>
      </x:c>
      <x:c r="G18" s="32" t="n">
        <x:f>D18*E18</x:f>
        <x:v>1440</x:v>
      </x:c>
      <x:c r="H18" s="32" t="n">
        <x:f>D18*F18</x:f>
        <x:v>1440</x:v>
      </x:c>
      <x:c r="I18" s="32" t="n">
        <x:f>G18-H18</x:f>
        <x:v>0</x:v>
      </x:c>
      <x:c r="J18" s="25" t="str"/>
      <x:c r="K18" s="25" t="str"/>
      <x:c r="L18" s="25" t="str">
        <x:v>Pendiente</x:v>
      </x:c>
      <x:c r="M18" s="25" t="str">
        <x:v>SIM</x:v>
      </x:c>
    </x:row>
    <x:row r="19">
      <x:c r="A19" s="25" t="str">
        <x:v>COT-SIM-007-V01</x:v>
      </x:c>
      <x:c r="B19" s="25" t="n">
        <x:v>2</x:v>
      </x:c>
      <x:c r="C19" s="25" t="str">
        <x:v>PRD-SIM-005</x:v>
      </x:c>
      <x:c r="D19" s="25" t="n">
        <x:v>4</x:v>
      </x:c>
      <x:c r="E19" s="32" t="n">
        <x:v>95</x:v>
      </x:c>
      <x:c r="F19" s="32" t="n">
        <x:v>95</x:v>
      </x:c>
      <x:c r="G19" s="32" t="n">
        <x:f>D19*E19</x:f>
        <x:v>380</x:v>
      </x:c>
      <x:c r="H19" s="32" t="n">
        <x:f>D19*F19</x:f>
        <x:v>380</x:v>
      </x:c>
      <x:c r="I19" s="32" t="n">
        <x:f>G19-H19</x:f>
        <x:v>0</x:v>
      </x:c>
      <x:c r="J19" s="25" t="str"/>
      <x:c r="K19" s="25" t="str"/>
      <x:c r="L19" s="25" t="str">
        <x:v>Pendiente</x:v>
      </x:c>
      <x:c r="M19" s="25" t="str">
        <x:v>SIM</x:v>
      </x:c>
    </x:row>
    <x:row r="20">
      <x:c r="A20" s="25" t="str">
        <x:v>COT-SIM-008-V01</x:v>
      </x:c>
      <x:c r="B20" s="25" t="n">
        <x:v>1</x:v>
      </x:c>
      <x:c r="C20" s="25" t="str">
        <x:v>PRD-SIM-001</x:v>
      </x:c>
      <x:c r="D20" s="25" t="n">
        <x:v>150</x:v>
      </x:c>
      <x:c r="E20" s="32" t="n">
        <x:v>30</x:v>
      </x:c>
      <x:c r="F20" s="32" t="n">
        <x:v>30</x:v>
      </x:c>
      <x:c r="G20" s="32" t="n">
        <x:f>D20*E20</x:f>
        <x:v>4500</x:v>
      </x:c>
      <x:c r="H20" s="32" t="n">
        <x:f>D20*F20</x:f>
        <x:v>4500</x:v>
      </x:c>
      <x:c r="I20" s="32" t="n">
        <x:f>G20-H20</x:f>
        <x:v>0</x:v>
      </x:c>
      <x:c r="J20" s="25" t="str"/>
      <x:c r="K20" s="25" t="str"/>
      <x:c r="L20" s="25" t="str">
        <x:v>Adjudicada</x:v>
      </x:c>
      <x:c r="M20" s="25" t="str">
        <x:v>SIM</x:v>
      </x:c>
    </x:row>
    <x:row r="21">
      <x:c r="A21" s="25" t="str">
        <x:v>COT-SIM-008-V01</x:v>
      </x:c>
      <x:c r="B21" s="25" t="n">
        <x:v>2</x:v>
      </x:c>
      <x:c r="C21" s="25" t="str">
        <x:v>PRD-SIM-002</x:v>
      </x:c>
      <x:c r="D21" s="25" t="n">
        <x:v>100</x:v>
      </x:c>
      <x:c r="E21" s="32" t="n">
        <x:v>40</x:v>
      </x:c>
      <x:c r="F21" s="32" t="n">
        <x:v>40</x:v>
      </x:c>
      <x:c r="G21" s="32" t="n">
        <x:f>D21*E21</x:f>
        <x:v>4000</x:v>
      </x:c>
      <x:c r="H21" s="32" t="n">
        <x:f>D21*F21</x:f>
        <x:v>4000</x:v>
      </x:c>
      <x:c r="I21" s="32" t="n">
        <x:f>G21-H21</x:f>
        <x:v>0</x:v>
      </x:c>
      <x:c r="J21" s="25" t="str"/>
      <x:c r="K21" s="25" t="str"/>
      <x:c r="L21" s="25" t="str">
        <x:v>No adjudicada</x:v>
      </x:c>
      <x:c r="M21" s="25" t="str">
        <x:v>SIM</x:v>
      </x:c>
    </x:row>
    <x:row r="22">
      <x:c r="A22" s="25" t="str">
        <x:v>COT-SIM-008-V02</x:v>
      </x:c>
      <x:c r="B22" s="25" t="n">
        <x:v>1</x:v>
      </x:c>
      <x:c r="C22" s="25" t="str">
        <x:v>PRD-SIM-001</x:v>
      </x:c>
      <x:c r="D22" s="25" t="n">
        <x:v>150</x:v>
      </x:c>
      <x:c r="E22" s="32" t="n">
        <x:v>30</x:v>
      </x:c>
      <x:c r="F22" s="32" t="n">
        <x:v>29.8</x:v>
      </x:c>
      <x:c r="G22" s="32" t="n">
        <x:f>D22*E22</x:f>
        <x:v>4500</x:v>
      </x:c>
      <x:c r="H22" s="32" t="n">
        <x:f>D22*F22</x:f>
        <x:v>4470</x:v>
      </x:c>
      <x:c r="I22" s="32" t="n">
        <x:f>G22-H22</x:f>
        <x:v>30</x:v>
      </x:c>
      <x:c r="J22" s="25" t="str">
        <x:v>Volumen</x:v>
      </x:c>
      <x:c r="K22" s="25" t="str">
        <x:v>Propietaria</x:v>
      </x:c>
      <x:c r="L22" s="25" t="str">
        <x:v>Adjudicada</x:v>
      </x:c>
      <x:c r="M22" s="25" t="str">
        <x:v>SIM</x:v>
      </x:c>
    </x:row>
    <x:row r="23">
      <x:c r="A23" s="25" t="str">
        <x:v>COT-SIM-008-V02</x:v>
      </x:c>
      <x:c r="B23" s="25" t="n">
        <x:v>2</x:v>
      </x:c>
      <x:c r="C23" s="25" t="str">
        <x:v>PRD-SIM-002</x:v>
      </x:c>
      <x:c r="D23" s="25" t="n">
        <x:v>100</x:v>
      </x:c>
      <x:c r="E23" s="32" t="n">
        <x:v>40</x:v>
      </x:c>
      <x:c r="F23" s="32" t="n">
        <x:v>39.9</x:v>
      </x:c>
      <x:c r="G23" s="32" t="n">
        <x:f>D23*E23</x:f>
        <x:v>4000</x:v>
      </x:c>
      <x:c r="H23" s="32" t="n">
        <x:f>D23*F23</x:f>
        <x:v>3990</x:v>
      </x:c>
      <x:c r="I23" s="32" t="n">
        <x:f>G23-H23</x:f>
        <x:v>10</x:v>
      </x:c>
      <x:c r="J23" s="25" t="str">
        <x:v>Competencia</x:v>
      </x:c>
      <x:c r="K23" s="25" t="str">
        <x:v>Propietaria</x:v>
      </x:c>
      <x:c r="L23" s="25" t="str">
        <x:v>No adjudicada</x:v>
      </x:c>
      <x:c r="M23" s="25" t="str">
        <x:v>SIM</x:v>
      </x:c>
    </x:row>
    <x:row r="24">
      <x:c r="A24" s="25" t="str">
        <x:v>COT-SIM-009-V01</x:v>
      </x:c>
      <x:c r="B24" s="25" t="n">
        <x:v>1</x:v>
      </x:c>
      <x:c r="C24" s="25" t="str">
        <x:v>PRD-SIM-019</x:v>
      </x:c>
      <x:c r="D24" s="25" t="n">
        <x:v>1</x:v>
      </x:c>
      <x:c r="E24" s="32" t="n">
        <x:v>480</x:v>
      </x:c>
      <x:c r="F24" s="32" t="n">
        <x:v>480</x:v>
      </x:c>
      <x:c r="G24" s="32" t="n">
        <x:f>D24*E24</x:f>
        <x:v>480</x:v>
      </x:c>
      <x:c r="H24" s="32" t="n">
        <x:f>D24*F24</x:f>
        <x:v>480</x:v>
      </x:c>
      <x:c r="I24" s="32" t="n">
        <x:f>G24-H24</x:f>
        <x:v>0</x:v>
      </x:c>
      <x:c r="J24" s="25" t="str"/>
      <x:c r="K24" s="25" t="str"/>
      <x:c r="L24" s="25" t="str">
        <x:v>Adjudicada</x:v>
      </x:c>
      <x:c r="M24" s="25" t="str">
        <x:v>SIM</x:v>
      </x:c>
    </x:row>
    <x:row r="25">
      <x:c r="A25" s="25" t="str">
        <x:v>COT-SIM-009-V01</x:v>
      </x:c>
      <x:c r="B25" s="25" t="n">
        <x:v>2</x:v>
      </x:c>
      <x:c r="C25" s="25" t="str">
        <x:v>PRD-SIM-003</x:v>
      </x:c>
      <x:c r="D25" s="25" t="n">
        <x:v>15</x:v>
      </x:c>
      <x:c r="E25" s="32" t="n">
        <x:v>20</x:v>
      </x:c>
      <x:c r="F25" s="32" t="n">
        <x:v>20</x:v>
      </x:c>
      <x:c r="G25" s="32" t="n">
        <x:f>D25*E25</x:f>
        <x:v>300</x:v>
      </x:c>
      <x:c r="H25" s="32" t="n">
        <x:f>D25*F25</x:f>
        <x:v>300</x:v>
      </x:c>
      <x:c r="I25" s="32" t="n">
        <x:f>G25-H25</x:f>
        <x:v>0</x:v>
      </x:c>
      <x:c r="J25" s="25" t="str"/>
      <x:c r="K25" s="25" t="str"/>
      <x:c r="L25" s="25" t="str">
        <x:v>Adjudicada</x:v>
      </x:c>
      <x:c r="M25" s="25" t="str">
        <x:v>SIM</x:v>
      </x:c>
    </x:row>
    <x:row r="26">
      <x:c r="A26" s="25" t="str">
        <x:v>COT-SIM-011-V01</x:v>
      </x:c>
      <x:c r="B26" s="25" t="n">
        <x:v>1</x:v>
      </x:c>
      <x:c r="C26" s="25" t="str">
        <x:v>PRD-SIM-001</x:v>
      </x:c>
      <x:c r="D26" s="25" t="n">
        <x:v>200</x:v>
      </x:c>
      <x:c r="E26" s="32" t="n">
        <x:v>29.8</x:v>
      </x:c>
      <x:c r="F26" s="32" t="n">
        <x:v>29.8</x:v>
      </x:c>
      <x:c r="G26" s="32" t="n">
        <x:f>D26*E26</x:f>
        <x:v>5960</x:v>
      </x:c>
      <x:c r="H26" s="32" t="n">
        <x:f>D26*F26</x:f>
        <x:v>5960</x:v>
      </x:c>
      <x:c r="I26" s="32" t="n">
        <x:f>G26-H26</x:f>
        <x:v>0</x:v>
      </x:c>
      <x:c r="J26" s="25" t="str"/>
      <x:c r="K26" s="25" t="str"/>
      <x:c r="L26" s="25" t="str">
        <x:v>No adjudicada</x:v>
      </x:c>
      <x:c r="M26" s="25" t="str">
        <x:v>SIM</x:v>
      </x:c>
    </x:row>
    <x:row r="27">
      <x:c r="A27" s="25" t="str">
        <x:v>COT-SIM-011-V01</x:v>
      </x:c>
      <x:c r="B27" s="25" t="n">
        <x:v>2</x:v>
      </x:c>
      <x:c r="C27" s="25" t="str">
        <x:v>PRD-SIM-002</x:v>
      </x:c>
      <x:c r="D27" s="25" t="n">
        <x:v>120</x:v>
      </x:c>
      <x:c r="E27" s="32" t="n">
        <x:v>39.8</x:v>
      </x:c>
      <x:c r="F27" s="32" t="n">
        <x:v>39.8</x:v>
      </x:c>
      <x:c r="G27" s="32" t="n">
        <x:f>D27*E27</x:f>
        <x:v>4776</x:v>
      </x:c>
      <x:c r="H27" s="32" t="n">
        <x:f>D27*F27</x:f>
        <x:v>4776</x:v>
      </x:c>
      <x:c r="I27" s="32" t="n">
        <x:f>G27-H27</x:f>
        <x:v>0</x:v>
      </x:c>
      <x:c r="J27" s="25" t="str"/>
      <x:c r="K27" s="25" t="str"/>
      <x:c r="L27" s="25" t="str">
        <x:v>No adjudicada</x:v>
      </x:c>
      <x:c r="M27" s="25" t="str">
        <x:v>SIM</x:v>
      </x:c>
    </x:row>
    <x:row r="28">
      <x:c r="A28" s="25" t="str">
        <x:v>COT-SIM-013-V01</x:v>
      </x:c>
      <x:c r="B28" s="25" t="n">
        <x:v>1</x:v>
      </x:c>
      <x:c r="C28" s="25" t="str">
        <x:v>PRD-SIM-001</x:v>
      </x:c>
      <x:c r="D28" s="25" t="n">
        <x:v>100</x:v>
      </x:c>
      <x:c r="E28" s="32" t="n">
        <x:v>30.1</x:v>
      </x:c>
      <x:c r="F28" s="32" t="n">
        <x:v>30.1</x:v>
      </x:c>
      <x:c r="G28" s="32" t="n">
        <x:f>D28*E28</x:f>
        <x:v>3010</x:v>
      </x:c>
      <x:c r="H28" s="32" t="n">
        <x:f>D28*F28</x:f>
        <x:v>3010</x:v>
      </x:c>
      <x:c r="I28" s="32" t="n">
        <x:f>G28-H28</x:f>
        <x:v>0</x:v>
      </x:c>
      <x:c r="J28" s="25" t="str"/>
      <x:c r="K28" s="25" t="str"/>
      <x:c r="L28" s="25" t="str">
        <x:v>Adjudicada</x:v>
      </x:c>
      <x:c r="M28" s="25" t="str">
        <x:v>SIM</x:v>
      </x:c>
    </x:row>
    <x:row r="29">
      <x:c r="A29" s="25" t="str">
        <x:v>COT-SIM-013-V01</x:v>
      </x:c>
      <x:c r="B29" s="25" t="n">
        <x:v>2</x:v>
      </x:c>
      <x:c r="C29" s="25" t="str">
        <x:v>PRD-SIM-005</x:v>
      </x:c>
      <x:c r="D29" s="25" t="n">
        <x:v>5</x:v>
      </x:c>
      <x:c r="E29" s="32" t="n">
        <x:v>96</x:v>
      </x:c>
      <x:c r="F29" s="32" t="n">
        <x:v>96</x:v>
      </x:c>
      <x:c r="G29" s="32" t="n">
        <x:f>D29*E29</x:f>
        <x:v>480</x:v>
      </x:c>
      <x:c r="H29" s="32" t="n">
        <x:f>D29*F29</x:f>
        <x:v>480</x:v>
      </x:c>
      <x:c r="I29" s="32" t="n">
        <x:f>G29-H29</x:f>
        <x:v>0</x:v>
      </x:c>
      <x:c r="J29" s="25" t="str"/>
      <x:c r="K29" s="25" t="str"/>
      <x:c r="L29" s="25" t="str">
        <x:v>No adjudicada</x:v>
      </x:c>
      <x:c r="M29" s="25" t="str">
        <x:v>SIM</x:v>
      </x:c>
    </x:row>
    <x:row r="30">
      <x:c r="A30" s="25" t="str">
        <x:v>COT-SIM-013-V02</x:v>
      </x:c>
      <x:c r="B30" s="25" t="n">
        <x:v>1</x:v>
      </x:c>
      <x:c r="C30" s="25" t="str">
        <x:v>PRD-SIM-001</x:v>
      </x:c>
      <x:c r="D30" s="25" t="n">
        <x:v>100</x:v>
      </x:c>
      <x:c r="E30" s="32" t="n">
        <x:v>30.1</x:v>
      </x:c>
      <x:c r="F30" s="32" t="n">
        <x:v>30</x:v>
      </x:c>
      <x:c r="G30" s="32" t="n">
        <x:f>D30*E30</x:f>
        <x:v>3010</x:v>
      </x:c>
      <x:c r="H30" s="32" t="n">
        <x:f>D30*F30</x:f>
        <x:v>3000</x:v>
      </x:c>
      <x:c r="I30" s="32" t="n">
        <x:f>G30-H30</x:f>
        <x:v>10</x:v>
      </x:c>
      <x:c r="J30" s="25" t="str">
        <x:v>Condición de entrega</x:v>
      </x:c>
      <x:c r="K30" s="25" t="str">
        <x:v>Dueño</x:v>
      </x:c>
      <x:c r="L30" s="25" t="str">
        <x:v>Adjudicada</x:v>
      </x:c>
      <x:c r="M30" s="25" t="str">
        <x:v>SIM</x:v>
      </x:c>
    </x:row>
    <x:row r="31">
      <x:c r="A31" s="25" t="str">
        <x:v>COT-SIM-013-V02</x:v>
      </x:c>
      <x:c r="B31" s="25" t="n">
        <x:v>2</x:v>
      </x:c>
      <x:c r="C31" s="25" t="str">
        <x:v>PRD-SIM-005</x:v>
      </x:c>
      <x:c r="D31" s="25" t="n">
        <x:v>5</x:v>
      </x:c>
      <x:c r="E31" s="32" t="n">
        <x:v>96</x:v>
      </x:c>
      <x:c r="F31" s="32" t="n">
        <x:v>96</x:v>
      </x:c>
      <x:c r="G31" s="32" t="n">
        <x:f>D31*E31</x:f>
        <x:v>480</x:v>
      </x:c>
      <x:c r="H31" s="32" t="n">
        <x:f>D31*F31</x:f>
        <x:v>480</x:v>
      </x:c>
      <x:c r="I31" s="32" t="n">
        <x:f>G31-H31</x:f>
        <x:v>0</x:v>
      </x:c>
      <x:c r="J31" s="25" t="str">
        <x:v>Condición de entrega</x:v>
      </x:c>
      <x:c r="K31" s="25" t="str">
        <x:v>Dueño</x:v>
      </x:c>
      <x:c r="L31" s="25" t="str">
        <x:v>No adjudicada</x:v>
      </x:c>
      <x:c r="M31" s="25" t="str">
        <x:v>SIM</x:v>
      </x:c>
    </x:row>
    <x:row r="32">
      <x:c r="A32" s="25" t="str">
        <x:v>COT-SIM-015-V01</x:v>
      </x:c>
      <x:c r="B32" s="25" t="n">
        <x:v>1</x:v>
      </x:c>
      <x:c r="C32" s="25" t="str">
        <x:v>PRD-SIM-010</x:v>
      </x:c>
      <x:c r="D32" s="25" t="n">
        <x:v>3</x:v>
      </x:c>
      <x:c r="E32" s="32" t="n">
        <x:v>150</x:v>
      </x:c>
      <x:c r="F32" s="32" t="n">
        <x:v>150</x:v>
      </x:c>
      <x:c r="G32" s="32" t="n">
        <x:f>D32*E32</x:f>
        <x:v>450</x:v>
      </x:c>
      <x:c r="H32" s="32" t="n">
        <x:f>D32*F32</x:f>
        <x:v>450</x:v>
      </x:c>
      <x:c r="I32" s="32" t="n">
        <x:f>G32-H32</x:f>
        <x:v>0</x:v>
      </x:c>
      <x:c r="J32" s="25" t="str"/>
      <x:c r="K32" s="25" t="str"/>
      <x:c r="L32" s="25" t="str">
        <x:v>No adjudicada</x:v>
      </x:c>
      <x:c r="M32" s="25" t="str">
        <x:v>SIM</x:v>
      </x:c>
    </x:row>
    <x:row r="33">
      <x:c r="A33" s="25" t="str">
        <x:v>COT-SIM-015-V01</x:v>
      </x:c>
      <x:c r="B33" s="25" t="n">
        <x:v>2</x:v>
      </x:c>
      <x:c r="C33" s="25" t="str">
        <x:v>PRD-SIM-011</x:v>
      </x:c>
      <x:c r="D33" s="25" t="n">
        <x:v>20</x:v>
      </x:c>
      <x:c r="E33" s="32" t="n">
        <x:v>18</x:v>
      </x:c>
      <x:c r="F33" s="32" t="n">
        <x:v>18</x:v>
      </x:c>
      <x:c r="G33" s="32" t="n">
        <x:f>D33*E33</x:f>
        <x:v>360</x:v>
      </x:c>
      <x:c r="H33" s="32" t="n">
        <x:f>D33*F33</x:f>
        <x:v>360</x:v>
      </x:c>
      <x:c r="I33" s="32" t="n">
        <x:f>G33-H33</x:f>
        <x:v>0</x:v>
      </x:c>
      <x:c r="J33" s="25" t="str"/>
      <x:c r="K33" s="25" t="str"/>
      <x:c r="L33" s="25" t="str">
        <x:v>No adjudicada</x:v>
      </x:c>
      <x:c r="M33" s="25" t="str">
        <x:v>SIM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0" hidden="0" customWidth="1"/>
    <x:col min="5" max="5" width="22" hidden="0" customWidth="1"/>
    <x:col min="6" max="6" width="42" hidden="0" customWidth="1"/>
    <x:col min="7" max="7" width="22" hidden="0" customWidth="1"/>
    <x:col min="8" max="8" width="18" hidden="0" customWidth="1"/>
    <x:col min="9" max="9" width="16" hidden="0" customWidth="1"/>
    <x:col min="10" max="10" width="48" hidden="0" customWidth="1"/>
    <x:col min="11" max="11" width="18" hidden="0" customWidth="1"/>
    <x:col min="12" max="12" width="12" hidden="0" customWidth="1"/>
  </x:cols>
  <x:sheetData>
    <x:row r="1" ht="24" customHeight="1">
      <x:c r="A1" s="4" t="str">
        <x:v>Decisiones comerciales sintéticas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id_decision</x:v>
      </x:c>
      <x:c r="B4" s="18" t="str">
        <x:v>tipo_decision</x:v>
      </x:c>
      <x:c r="C4" s="18" t="str">
        <x:v>id_oportunidad</x:v>
      </x:c>
      <x:c r="D4" s="18" t="str">
        <x:v>id_cotizacion</x:v>
      </x:c>
      <x:c r="E4" s="18" t="str">
        <x:v>objeto_afectado</x:v>
      </x:c>
      <x:c r="F4" s="18" t="str">
        <x:v>situacion</x:v>
      </x:c>
      <x:c r="G4" s="18" t="str">
        <x:v>decision</x:v>
      </x:c>
      <x:c r="H4" s="18" t="str">
        <x:v>decidido_por</x:v>
      </x:c>
      <x:c r="I4" s="18" t="str">
        <x:v>fecha_decision</x:v>
      </x:c>
      <x:c r="J4" s="18" t="str">
        <x:v>evidencia_esperada</x:v>
      </x:c>
      <x:c r="K4" s="18" t="str">
        <x:v>clasificacion</x:v>
      </x:c>
      <x:c r="L4" s="18" t="str">
        <x:v>nota</x:v>
      </x:c>
    </x:row>
    <x:row r="5">
      <x:c r="A5" s="25" t="str">
        <x:v>DEC-SIM-001</x:v>
      </x:c>
      <x:c r="B5" s="25" t="str">
        <x:v>Descuento</x:v>
      </x:c>
      <x:c r="C5" s="25" t="str">
        <x:v>OPP-SIM-002</x:v>
      </x:c>
      <x:c r="D5" s="25" t="str">
        <x:v>COT-SIM-002-V02</x:v>
      </x:c>
      <x:c r="E5" s="25" t="str">
        <x:v>PRD-SIM-002</x:v>
      </x:c>
      <x:c r="F5" s="25" t="str">
        <x:v>Cliente comunica mejor precio de competencia</x:v>
      </x:c>
      <x:c r="G5" s="25" t="str">
        <x:v>Ajuste autorizado</x:v>
      </x:c>
      <x:c r="H5" s="25" t="str">
        <x:v>Dueño</x:v>
      </x:c>
      <x:c r="I5" s="28" t="n">
        <x:v>46311</x:v>
      </x:c>
      <x:c r="J5" s="25" t="str">
        <x:v>Versión + precio referencia + precio ofrecido + motivo + autorizador</x:v>
      </x:c>
      <x:c r="K5" s="25" t="str">
        <x:v>TO-BE/SIM</x:v>
      </x:c>
      <x:c r="L5" s="25" t="str">
        <x:v>SIM</x:v>
      </x:c>
    </x:row>
    <x:row r="6">
      <x:c r="A6" s="25" t="str">
        <x:v>DEC-SIM-002</x:v>
      </x:c>
      <x:c r="B6" s="25" t="str">
        <x:v>Descuento</x:v>
      </x:c>
      <x:c r="C6" s="25" t="str">
        <x:v>OPP-SIM-008</x:v>
      </x:c>
      <x:c r="D6" s="25" t="str">
        <x:v>COT-SIM-008-V02</x:v>
      </x:c>
      <x:c r="E6" s="25" t="str">
        <x:v>PRD-SIM-001</x:v>
      </x:c>
      <x:c r="F6" s="25" t="str">
        <x:v>Compra de mayor volumen</x:v>
      </x:c>
      <x:c r="G6" s="25" t="str">
        <x:v>Ajuste autorizado</x:v>
      </x:c>
      <x:c r="H6" s="25" t="str">
        <x:v>Propietaria</x:v>
      </x:c>
      <x:c r="I6" s="28" t="n">
        <x:v>46311</x:v>
      </x:c>
      <x:c r="J6" s="25" t="str">
        <x:v>Versión + motivo + autorizador</x:v>
      </x:c>
      <x:c r="K6" s="25" t="str">
        <x:v>TO-BE/SIM</x:v>
      </x:c>
      <x:c r="L6" s="25" t="str">
        <x:v>SIM</x:v>
      </x:c>
    </x:row>
    <x:row r="7">
      <x:c r="A7" s="25" t="str">
        <x:v>DEC-SIM-003</x:v>
      </x:c>
      <x:c r="B7" s="25" t="str">
        <x:v>Promesa</x:v>
      </x:c>
      <x:c r="C7" s="25" t="str">
        <x:v>OPP-SIM-007</x:v>
      </x:c>
      <x:c r="D7" s="25" t="str">
        <x:v>COT-SIM-007-V01</x:v>
      </x:c>
      <x:c r="E7" s="25" t="str">
        <x:v>Ladrillo</x:v>
      </x:c>
      <x:c r="F7" s="25" t="str">
        <x:v>Disponibilidad de proveedor aún no confirmada</x:v>
      </x:c>
      <x:c r="G7" s="25" t="str">
        <x:v>Promesa pendiente</x:v>
      </x:c>
      <x:c r="H7" s="25" t="str">
        <x:v>Dueño</x:v>
      </x:c>
      <x:c r="I7" s="28" t="n">
        <x:v>46311</x:v>
      </x:c>
      <x:c r="J7" s="25" t="str">
        <x:v>Producto + cantidad + condición + responsable</x:v>
      </x:c>
      <x:c r="K7" s="25" t="str">
        <x:v>TO-BE/SIM</x:v>
      </x:c>
      <x:c r="L7" s="25" t="str">
        <x:v>SIM</x:v>
      </x:c>
    </x:row>
    <x:row r="8">
      <x:c r="A8" s="25" t="str">
        <x:v>DEC-SIM-004</x:v>
      </x:c>
      <x:c r="B8" s="25" t="str">
        <x:v>Promesa</x:v>
      </x:c>
      <x:c r="C8" s="25" t="str">
        <x:v>OPP-SIM-009</x:v>
      </x:c>
      <x:c r="D8" s="25" t="str">
        <x:v>COT-SIM-009-V01</x:v>
      </x:c>
      <x:c r="E8" s="25" t="str">
        <x:v>Entrega a obra</x:v>
      </x:c>
      <x:c r="F8" s="25" t="str">
        <x:v>Ubicación y recursos compatibles</x:v>
      </x:c>
      <x:c r="G8" s="25" t="str">
        <x:v>Promesa viable</x:v>
      </x:c>
      <x:c r="H8" s="25" t="str">
        <x:v>Dueño</x:v>
      </x:c>
      <x:c r="I8" s="28" t="n">
        <x:v>46311</x:v>
      </x:c>
      <x:c r="J8" s="25" t="str">
        <x:v>Fecha/condición comunicada + responsable</x:v>
      </x:c>
      <x:c r="K8" s="25" t="str">
        <x:v>TO-BE/SIM</x:v>
      </x:c>
      <x:c r="L8" s="25" t="str">
        <x:v>SIM</x:v>
      </x:c>
    </x:row>
    <x:row r="9">
      <x:c r="A9" s="25" t="str">
        <x:v>DEC-SIM-005</x:v>
      </x:c>
      <x:c r="B9" s="25" t="str">
        <x:v>Facturación</x:v>
      </x:c>
      <x:c r="C9" s="25" t="str">
        <x:v>OPP-SIM-006</x:v>
      </x:c>
      <x:c r="D9" s="25" t="str">
        <x:v>COT-SIM-006-V01</x:v>
      </x:c>
      <x:c r="E9" s="25" t="str">
        <x:v>Comprobante</x:v>
      </x:c>
      <x:c r="F9" s="25" t="str">
        <x:v>Cliente solicita factura</x:v>
      </x:c>
      <x:c r="G9" s="25" t="str">
        <x:v>Condición: Factura</x:v>
      </x:c>
      <x:c r="H9" s="25" t="str">
        <x:v>Propietaria</x:v>
      </x:c>
      <x:c r="I9" s="28" t="n">
        <x:v>46311</x:v>
      </x:c>
      <x:c r="J9" s="25" t="str">
        <x:v>Tipo de comprobante previsto + datos fiscales pendientes/disponibles</x:v>
      </x:c>
      <x:c r="K9" s="25" t="str">
        <x:v>TO-BE/SIM</x:v>
      </x:c>
      <x:c r="L9" s="25" t="str">
        <x:v>SIM</x:v>
      </x:c>
    </x:row>
    <x:row r="10">
      <x:c r="A10" s="25" t="str">
        <x:v>DEC-SIM-006</x:v>
      </x:c>
      <x:c r="B10" s="25" t="str">
        <x:v>Facturación</x:v>
      </x:c>
      <x:c r="C10" s="25" t="str">
        <x:v>OPP-SIM-004</x:v>
      </x:c>
      <x:c r="D10" s="25" t="str">
        <x:v>COT-SIM-004-V01</x:v>
      </x:c>
      <x:c r="E10" s="25" t="str">
        <x:v>Comprobante</x:v>
      </x:c>
      <x:c r="F10" s="25" t="str">
        <x:v>Cliente solicita boleta</x:v>
      </x:c>
      <x:c r="G10" s="25" t="str">
        <x:v>Condición: Boleta</x:v>
      </x:c>
      <x:c r="H10" s="25" t="str">
        <x:v>Dueño</x:v>
      </x:c>
      <x:c r="I10" s="28" t="n">
        <x:v>46311</x:v>
      </x:c>
      <x:c r="J10" s="25" t="str">
        <x:v>Tipo de comprobante previsto</x:v>
      </x:c>
      <x:c r="K10" s="25" t="str">
        <x:v>TO-BE/SIM</x:v>
      </x:c>
      <x:c r="L10" s="25" t="str">
        <x:v>SIM</x:v>
      </x:c>
    </x:row>
    <x:row r="11">
      <x:c r="I11" s="29"/>
    </x:row>
    <x:row r="12">
      <x:c r="I12" s="29"/>
    </x:row>
    <x:row r="13">
      <x:c r="I13" s="29"/>
    </x:row>
    <x:row r="14">
      <x:c r="I14" s="29"/>
    </x:row>
    <x:row r="15">
      <x:c r="I15" s="29"/>
    </x:row>
    <x:row r="16">
      <x:c r="I16" s="29"/>
    </x:row>
    <x:row r="17">
      <x:c r="I17" s="29"/>
    </x:row>
    <x:row r="18">
      <x:c r="I18" s="29"/>
    </x:row>
    <x:row r="19">
      <x:c r="I19" s="29"/>
    </x:row>
    <x:row r="20">
      <x:c r="I20" s="29"/>
    </x:row>
    <x:row r="21">
      <x:c r="I21" s="29"/>
    </x:row>
    <x:row r="22">
      <x:c r="I22" s="29"/>
    </x:row>
    <x:row r="23">
      <x:c r="I23" s="29"/>
    </x:row>
    <x:row r="24">
      <x:c r="I24" s="29"/>
    </x:row>
    <x:row r="25">
      <x:c r="I25" s="29"/>
    </x:row>
    <x:row r="26">
      <x:c r="I26" s="29"/>
    </x:row>
    <x:row r="27">
      <x:c r="I27" s="29"/>
    </x:row>
    <x:row r="28">
      <x:c r="I28" s="29"/>
    </x:row>
    <x:row r="29">
      <x:c r="I29" s="29"/>
    </x:row>
    <x:row r="30">
      <x:c r="I30" s="29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42" hidden="0" customWidth="1"/>
    <x:col min="4" max="4" width="14" hidden="0" customWidth="1"/>
    <x:col min="5" max="5" width="62" hidden="0" customWidth="1"/>
    <x:col min="6" max="6" width="34" hidden="0" customWidth="1"/>
    <x:col min="7" max="7" width="42" hidden="0" customWidth="1"/>
  </x:cols>
  <x:sheetData>
    <x:row r="1" ht="24" customHeight="1">
      <x:c r="A1" s="4" t="str">
        <x:v>Trazabilidad de afirmaciones y fuentes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id_fuente</x:v>
      </x:c>
      <x:c r="B4" s="18" t="str">
        <x:v>tipo</x:v>
      </x:c>
      <x:c r="C4" s="18" t="str">
        <x:v>fuente</x:v>
      </x:c>
      <x:c r="D4" s="18" t="str">
        <x:v>fecha</x:v>
      </x:c>
      <x:c r="E4" s="18" t="str">
        <x:v>afirmacion_respaldada</x:v>
      </x:c>
      <x:c r="F4" s="18" t="str">
        <x:v>uso_en_workbook</x:v>
      </x:c>
      <x:c r="G4" s="18" t="str">
        <x:v>observacion</x:v>
      </x:c>
    </x:row>
    <x:row r="5">
      <x:c r="A5" s="25" t="str">
        <x:v>FN-01</x:v>
      </x:c>
      <x:c r="B5" s="25" t="str">
        <x:v>Negocio</x:v>
      </x:c>
      <x:c r="C5" s="25" t="str">
        <x:v>Monografía 1 - Grupo 1 - SI704V</x:v>
      </x:c>
      <x:c r="D5" s="25" t="str">
        <x:v>2026-10-15</x:v>
      </x:c>
      <x:c r="E5" s="25" t="str">
        <x:v>Operación, actores, canales, precios, cotizaciones, reparto, responsabilidades</x:v>
      </x:c>
      <x:c r="F5" s="25" t="str">
        <x:v>Base AS-IS</x:v>
      </x:c>
      <x:c r="G5" s="25" t="str">
        <x:v>Documento interno elaborado por el equipo</x:v>
      </x:c>
    </x:row>
    <x:row r="6">
      <x:c r="A6" s="25" t="str">
        <x:v>FN-02</x:v>
      </x:c>
      <x:c r="B6" s="25" t="str">
        <x:v>Negocio</x:v>
      </x:c>
      <x:c r="C6" s="25" t="str">
        <x:v>Aclaraciones de campo registradas por Brenda</x:v>
      </x:c>
      <x:c r="D6" s="25" t="str">
        <x:v>2026-10-16</x:v>
      </x:c>
      <x:c r="E6" s="25" t="str">
        <x:v>Contactos, obras, competencia, descuentos, seguimiento, facturación, direcciones e infraestructura</x:v>
      </x:c>
      <x:c r="F6" s="25" t="str">
        <x:v>Base AS-IS</x:v>
      </x:c>
      <x:c r="G6" s="25" t="str">
        <x:v>Levantamiento complementario</x:v>
      </x:c>
    </x:row>
    <x:row r="7">
      <x:c r="A7" s="25" t="str">
        <x:v>FC-01</x:v>
      </x:c>
      <x:c r="B7" s="25" t="str">
        <x:v>Docente</x:v>
      </x:c>
      <x:c r="C7" s="25" t="str">
        <x:v>GE703 Sesión 6 - CRM, marketing y ventas</x:v>
      </x:c>
      <x:c r="D7" s="25" t="str">
        <x:v>2026-10</x:v>
      </x:c>
      <x:c r="E7" s="25" t="str">
        <x:v>Cuenta, contacto, oportunidad, cotización y frontera conceptual CRM–ERP</x:v>
      </x:c>
      <x:c r="F7" s="25" t="str">
        <x:v>Marco conceptual</x:v>
      </x:c>
      <x:c r="G7" s="25" t="str">
        <x:v>No aporta datos reales de MIGAL</x:v>
      </x:c>
    </x:row>
    <x:row r="8">
      <x:c r="A8" s="25" t="str">
        <x:v>FC-02</x:v>
      </x:c>
      <x:c r="B8" s="25" t="str">
        <x:v>Docente</x:v>
      </x:c>
      <x:c r="C8" s="25" t="str">
        <x:v>PC2 Instrucciones y rúbrica v2.1</x:v>
      </x:c>
      <x:c r="D8" s="25" t="str">
        <x:v>2026-10-15</x:v>
      </x:c>
      <x:c r="E8" s="25" t="str">
        <x:v>Alcance evaluable de la PC2</x:v>
      </x:c>
      <x:c r="F8" s="25" t="str">
        <x:v>Delimitación de alcance</x:v>
      </x:c>
      <x:c r="G8" s="25" t="str">
        <x:v>Corte antes del pedido confirmado</x:v>
      </x:c>
    </x:row>
    <x:row r="9">
      <x:c r="A9" s="25" t="str">
        <x:v>FD-01</x:v>
      </x:c>
      <x:c r="B9" s="25" t="str">
        <x:v>Docente</x:v>
      </x:c>
      <x:c r="C9" s="25" t="str">
        <x:v>Catálogos GE703 S6 / Modelo CRM_ERP Maestro</x:v>
      </x:c>
      <x:c r="D9" s="25" t="str">
        <x:v>2026-10</x:v>
      </x:c>
      <x:c r="E9" s="25" t="str">
        <x:v>Objetos y atributos de referencia</x:v>
      </x:c>
      <x:c r="F9" s="25" t="str">
        <x:v>Inspiración estructural</x:v>
      </x:c>
      <x:c r="G9" s="25" t="str">
        <x:v>Los valores del caso Andina son sintéticos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32" hidden="0" customWidth="1"/>
    <x:col min="4" max="4" width="18" hidden="0" customWidth="1"/>
  </x:cols>
  <x:sheetData>
    <x:row r="1" ht="24" customHeight="1">
      <x:c r="A1" s="4" t="str">
        <x:v>Catálogos de apoyo propuestos</x:v>
      </x:c>
      <x:c r="B1" s="4"/>
      <x:c r="C1" s="4"/>
      <x:c r="D1" s="4"/>
      <x:c r="E1" s="4"/>
      <x:c r="F1" s="4"/>
      <x:c r="G1" s="4"/>
      <x:c r="H1" s="4"/>
    </x:row>
    <x:row r="4">
      <x:c r="A4" s="18" t="str">
        <x:v>catalogo</x:v>
      </x:c>
      <x:c r="B4" s="18" t="str">
        <x:v>valor</x:v>
      </x:c>
      <x:c r="C4" s="18" t="str">
        <x:v>uso</x:v>
      </x:c>
      <x:c r="D4" s="18" t="str">
        <x:v>clasificacion</x:v>
      </x:c>
    </x:row>
    <x:row r="5">
      <x:c r="A5" s="25" t="str">
        <x:v>Probabilidad</x:v>
      </x:c>
      <x:c r="B5" s="25" t="str">
        <x:v>Baja</x:v>
      </x:c>
      <x:c r="C5" s="25" t="str">
        <x:v>Oportunidades</x:v>
      </x:c>
      <x:c r="D5" s="25" t="str">
        <x:v>TO-BE</x:v>
      </x:c>
    </x:row>
    <x:row r="6">
      <x:c r="A6" s="25" t="str">
        <x:v>Probabilidad</x:v>
      </x:c>
      <x:c r="B6" s="25" t="str">
        <x:v>Media</x:v>
      </x:c>
      <x:c r="C6" s="25" t="str">
        <x:v>Oportunidades</x:v>
      </x:c>
      <x:c r="D6" s="25" t="str">
        <x:v>TO-BE</x:v>
      </x:c>
    </x:row>
    <x:row r="7">
      <x:c r="A7" s="25" t="str">
        <x:v>Probabilidad</x:v>
      </x:c>
      <x:c r="B7" s="25" t="str">
        <x:v>Alta</x:v>
      </x:c>
      <x:c r="C7" s="25" t="str">
        <x:v>Oportunidades</x:v>
      </x:c>
      <x:c r="D7" s="25" t="str">
        <x:v>TO-BE</x:v>
      </x:c>
    </x:row>
    <x:row r="8">
      <x:c r="A8" s="25" t="str">
        <x:v>Resultado</x:v>
      </x:c>
      <x:c r="B8" s="25" t="str">
        <x:v>Abierta</x:v>
      </x:c>
      <x:c r="C8" s="25" t="str">
        <x:v>Oportunidades</x:v>
      </x:c>
      <x:c r="D8" s="25" t="str">
        <x:v>TO-BE</x:v>
      </x:c>
    </x:row>
    <x:row r="9">
      <x:c r="A9" s="25" t="str">
        <x:v>Resultado</x:v>
      </x:c>
      <x:c r="B9" s="25" t="str">
        <x:v>Ganada total</x:v>
      </x:c>
      <x:c r="C9" s="25" t="str">
        <x:v>Oportunidades</x:v>
      </x:c>
      <x:c r="D9" s="25" t="str">
        <x:v>TO-BE</x:v>
      </x:c>
    </x:row>
    <x:row r="10">
      <x:c r="A10" s="25" t="str">
        <x:v>Resultado</x:v>
      </x:c>
      <x:c r="B10" s="25" t="str">
        <x:v>Ganada parcial</x:v>
      </x:c>
      <x:c r="C10" s="25" t="str">
        <x:v>Oportunidades</x:v>
      </x:c>
      <x:c r="D10" s="25" t="str">
        <x:v>I + TO-BE</x:v>
      </x:c>
    </x:row>
    <x:row r="11">
      <x:c r="A11" s="25" t="str">
        <x:v>Resultado</x:v>
      </x:c>
      <x:c r="B11" s="25" t="str">
        <x:v>Perdida</x:v>
      </x:c>
      <x:c r="C11" s="25" t="str">
        <x:v>Oportunidades</x:v>
      </x:c>
      <x:c r="D11" s="25" t="str">
        <x:v>TO-BE</x:v>
      </x:c>
    </x:row>
    <x:row r="12">
      <x:c r="A12" s="25" t="str">
        <x:v>Motivo no adjudicación</x:v>
      </x:c>
      <x:c r="B12" s="25" t="str">
        <x:v>Precio de competencia</x:v>
      </x:c>
      <x:c r="C12" s="25" t="str">
        <x:v>Pérdida total/parcial</x:v>
      </x:c>
      <x:c r="D12" s="25" t="str">
        <x:v>TO-BE</x:v>
      </x:c>
    </x:row>
    <x:row r="13">
      <x:c r="A13" s="25" t="str">
        <x:v>Motivo no adjudicación</x:v>
      </x:c>
      <x:c r="B13" s="25" t="str">
        <x:v>Falta de disponibilidad</x:v>
      </x:c>
      <x:c r="C13" s="25" t="str">
        <x:v>Pérdida total/parcial</x:v>
      </x:c>
      <x:c r="D13" s="25" t="str">
        <x:v>TO-BE</x:v>
      </x:c>
    </x:row>
    <x:row r="14">
      <x:c r="A14" s="25" t="str">
        <x:v>Motivo no adjudicación</x:v>
      </x:c>
      <x:c r="B14" s="25" t="str">
        <x:v>Flete/entrega no conveniente</x:v>
      </x:c>
      <x:c r="C14" s="25" t="str">
        <x:v>Pérdida total/parcial</x:v>
      </x:c>
      <x:c r="D14" s="25" t="str">
        <x:v>TO-BE</x:v>
      </x:c>
    </x:row>
    <x:row r="15">
      <x:c r="A15" s="25" t="str">
        <x:v>Motivo no adjudicación</x:v>
      </x:c>
      <x:c r="B15" s="25" t="str">
        <x:v>Crédito no concedido</x:v>
      </x:c>
      <x:c r="C15" s="25" t="str">
        <x:v>Pérdida total/parcial</x:v>
      </x:c>
      <x:c r="D15" s="25" t="str">
        <x:v>TO-BE</x:v>
      </x:c>
    </x:row>
    <x:row r="16">
      <x:c r="A16" s="25" t="str">
        <x:v>Motivo no adjudicación</x:v>
      </x:c>
      <x:c r="B16" s="25" t="str">
        <x:v>Necesidad cancelada o modificada</x:v>
      </x:c>
      <x:c r="C16" s="25" t="str">
        <x:v>Pérdida total/parcial</x:v>
      </x:c>
      <x:c r="D16" s="25" t="str">
        <x:v>TO-BE</x:v>
      </x:c>
    </x:row>
    <x:row r="17">
      <x:c r="A17" s="25" t="str">
        <x:v>Motivo no adjudicación</x:v>
      </x:c>
      <x:c r="B17" s="25" t="str">
        <x:v>Cliente sin respuesta</x:v>
      </x:c>
      <x:c r="C17" s="25" t="str">
        <x:v>Pérdida total/parcial</x:v>
      </x:c>
      <x:c r="D17" s="25" t="str">
        <x:v>TO-BE</x:v>
      </x:c>
    </x:row>
    <x:row r="18">
      <x:c r="A18" s="25" t="str">
        <x:v>Motivo no adjudicación</x:v>
      </x:c>
      <x:c r="B18" s="25" t="str">
        <x:v>Compra parcial en otra ferretería</x:v>
      </x:c>
      <x:c r="C18" s="25" t="str">
        <x:v>Pérdida parcial</x:v>
      </x:c>
      <x:c r="D18" s="25" t="str">
        <x:v>TO-BE</x:v>
      </x:c>
    </x:row>
    <x:row r="19">
      <x:c r="A19" s="25" t="str">
        <x:v>Motivo ajuste</x:v>
      </x:c>
      <x:c r="B19" s="25" t="str">
        <x:v>Competencia</x:v>
      </x:c>
      <x:c r="C19" s="25" t="str">
        <x:v>Cotización</x:v>
      </x:c>
      <x:c r="D19" s="25" t="str">
        <x:v>TO-BE</x:v>
      </x:c>
    </x:row>
    <x:row r="20">
      <x:c r="A20" s="25" t="str">
        <x:v>Motivo ajuste</x:v>
      </x:c>
      <x:c r="B20" s="25" t="str">
        <x:v>Volumen</x:v>
      </x:c>
      <x:c r="C20" s="25" t="str">
        <x:v>Cotización</x:v>
      </x:c>
      <x:c r="D20" s="25" t="str">
        <x:v>TO-BE</x:v>
      </x:c>
    </x:row>
    <x:row r="21">
      <x:c r="A21" s="25" t="str">
        <x:v>Motivo ajuste</x:v>
      </x:c>
      <x:c r="B21" s="25" t="str">
        <x:v>Relación comercial</x:v>
      </x:c>
      <x:c r="C21" s="25" t="str">
        <x:v>Cotización</x:v>
      </x:c>
      <x:c r="D21" s="25" t="str">
        <x:v>TO-BE</x:v>
      </x:c>
    </x:row>
    <x:row r="22">
      <x:c r="A22" s="25" t="str">
        <x:v>Motivo ajuste</x:v>
      </x:c>
      <x:c r="B22" s="25" t="str">
        <x:v>Condición de entrega</x:v>
      </x:c>
      <x:c r="C22" s="25" t="str">
        <x:v>Cotización</x:v>
      </x:c>
      <x:c r="D22" s="25" t="str">
        <x:v>TO-BE</x:v>
      </x:c>
    </x:row>
    <x:row r="23">
      <x:c r="A23" s="25" t="str">
        <x:v>Motivo ajuste</x:v>
      </x:c>
      <x:c r="B23" s="25" t="str">
        <x:v>Otro</x:v>
      </x:c>
      <x:c r="C23" s="25" t="str">
        <x:v>Cotización</x:v>
      </x:c>
      <x:c r="D23" s="25" t="str">
        <x:v>TO-BE</x:v>
      </x:c>
    </x:row>
    <x:row r="24">
      <x:c r="A24" s="25" t="str">
        <x:v>Canal</x:v>
      </x:c>
      <x:c r="B24" s="25" t="str">
        <x:v>Presencial</x:v>
      </x:c>
      <x:c r="C24" s="25" t="str">
        <x:v>Captación/interacción</x:v>
      </x:c>
      <x:c r="D24" s="25" t="str">
        <x:v>AS-IS</x:v>
      </x:c>
    </x:row>
    <x:row r="25">
      <x:c r="A25" s="25" t="str">
        <x:v>Canal</x:v>
      </x:c>
      <x:c r="B25" s="25" t="str">
        <x:v>WhatsApp</x:v>
      </x:c>
      <x:c r="C25" s="25" t="str">
        <x:v>Captación/interacción</x:v>
      </x:c>
      <x:c r="D25" s="25" t="str">
        <x:v>AS-IS</x:v>
      </x:c>
    </x:row>
    <x:row r="26">
      <x:c r="A26" s="25" t="str">
        <x:v>Canal</x:v>
      </x:c>
      <x:c r="B26" s="25" t="str">
        <x:v>Teléfono</x:v>
      </x:c>
      <x:c r="C26" s="25" t="str">
        <x:v>Captación/interacción</x:v>
      </x:c>
      <x:c r="D26" s="25" t="str">
        <x:v>AS-IS</x:v>
      </x:c>
    </x:row>
    <x:row r="27">
      <x:c r="A27" s="25" t="str">
        <x:v>Fuente</x:v>
      </x:c>
      <x:c r="B27" s="25" t="str">
        <x:v>Referido maestro</x:v>
      </x:c>
      <x:c r="C27" s="25" t="str">
        <x:v>Captación</x:v>
      </x:c>
      <x:c r="D27" s="25" t="str">
        <x:v>AS-IS</x:v>
      </x:c>
    </x:row>
    <x:row r="28">
      <x:c r="A28" s="25" t="str">
        <x:v>Fuente</x:v>
      </x:c>
      <x:c r="B28" s="25" t="str">
        <x:v>Referido cliente</x:v>
      </x:c>
      <x:c r="C28" s="25" t="str">
        <x:v>Captación</x:v>
      </x:c>
      <x:c r="D28" s="25" t="str">
        <x:v>AS-IS</x:v>
      </x:c>
    </x:row>
    <x:row r="29">
      <x:c r="A29" s="25" t="str">
        <x:v>Comprobante previsto</x:v>
      </x:c>
      <x:c r="B29" s="25" t="str">
        <x:v>Boleta</x:v>
      </x:c>
      <x:c r="C29" s="25" t="str">
        <x:v>Condición comercial</x:v>
      </x:c>
      <x:c r="D29" s="25" t="str">
        <x:v>TO-BE</x:v>
      </x:c>
    </x:row>
    <x:row r="30">
      <x:c r="A30" s="25" t="str">
        <x:v>Comprobante previsto</x:v>
      </x:c>
      <x:c r="B30" s="25" t="str">
        <x:v>Factura</x:v>
      </x:c>
      <x:c r="C30" s="25" t="str">
        <x:v>Condición comercial</x:v>
      </x:c>
      <x:c r="D30" s="25" t="str">
        <x:v>TO-BE</x:v>
      </x:c>
    </x:row>
    <x:row r="31">
      <x:c r="A31" s="25" t="str">
        <x:v>Comprobante previsto</x:v>
      </x:c>
      <x:c r="B31" s="25" t="str">
        <x:v>Por definir</x:v>
      </x:c>
      <x:c r="C31" s="25" t="str">
        <x:v>Condición comercial</x:v>
      </x:c>
      <x:c r="D31" s="25" t="str">
        <x:v>TO-BE</x:v>
      </x:c>
    </x:row>
  </x:sheetData>
  <x:mergeCells>
    <x:mergeCell ref="A1:H1"/>
  </x:mergeCells>
  <x:pageMargins left="0.7" right="0.7" top="0.75" bottom="0.75" header="0.3" footer="0.3"/>
</x:worksheet>
</file>